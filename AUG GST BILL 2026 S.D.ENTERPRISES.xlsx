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720" yWindow="645" windowWidth="12240" windowHeight="7425" firstSheet="7" activeTab="8"/>
  </bookViews>
  <sheets>
    <sheet name="COMPUCOM" sheetId="2" r:id="rId1"/>
    <sheet name="COMPUCOM SP" sheetId="3" r:id="rId2"/>
    <sheet name="SHAPOORJI" sheetId="4" r:id="rId3"/>
    <sheet name="SHAPOORJI YERAWADA" sheetId="7" r:id="rId4"/>
    <sheet name="SHAPOORJI BOTTLES BILL" sheetId="22" r:id="rId5"/>
    <sheet name="shapoorji blue grass" sheetId="8" r:id="rId6"/>
    <sheet name="SHAPOORJI METRO" sheetId="21" r:id="rId7"/>
    <sheet name="INFIILOOM" sheetId="10" r:id="rId8"/>
    <sheet name="MAJESCO" sheetId="12" r:id="rId9"/>
    <sheet name="CDM SMSEETH" sheetId="9" r:id="rId10"/>
    <sheet name="RAYLONG" sheetId="14" r:id="rId11"/>
    <sheet name="WELLINGTON 1" sheetId="16" r:id="rId12"/>
    <sheet name="quality office" sheetId="17" r:id="rId13"/>
    <sheet name="PWC CENTER" sheetId="18" r:id="rId14"/>
    <sheet name="IT OFFICE" sheetId="19" r:id="rId15"/>
    <sheet name="RP PROPERTISES" sheetId="20" r:id="rId16"/>
    <sheet name="VIKAS" sheetId="25" r:id="rId17"/>
    <sheet name="CHAROLI" sheetId="23" r:id="rId18"/>
    <sheet name="MIAMI OFFICE" sheetId="27" r:id="rId19"/>
    <sheet name="ATALANTICS" sheetId="28" r:id="rId20"/>
    <sheet name="KNIGHT FRANK" sheetId="26" r:id="rId21"/>
    <sheet name="GOETHE" sheetId="24" r:id="rId22"/>
    <sheet name="FINALFUNNEL" sheetId="29" r:id="rId23"/>
    <sheet name="NOYA SWAN " sheetId="30" r:id="rId24"/>
    <sheet name="TGPL" sheetId="31" r:id="rId25"/>
    <sheet name="PRAGATI" sheetId="32" r:id="rId26"/>
    <sheet name="NCA" sheetId="33" r:id="rId27"/>
    <sheet name="BBC" sheetId="34" r:id="rId28"/>
    <sheet name="GALLANT" sheetId="35" r:id="rId29"/>
    <sheet name="VDM" sheetId="36" r:id="rId30"/>
  </sheets>
  <calcPr calcId="152511"/>
</workbook>
</file>

<file path=xl/calcChain.xml><?xml version="1.0" encoding="utf-8"?>
<calcChain xmlns="http://schemas.openxmlformats.org/spreadsheetml/2006/main">
  <c r="F18" i="31" l="1"/>
  <c r="C18" i="31"/>
  <c r="F16" i="36" l="1"/>
  <c r="F23" i="36" l="1"/>
  <c r="F24" i="36"/>
  <c r="F27" i="36" s="1"/>
  <c r="F25" i="36"/>
  <c r="F17" i="10" l="1"/>
  <c r="F14" i="35" l="1"/>
  <c r="F23" i="35" s="1"/>
  <c r="F25" i="35" l="1"/>
  <c r="F24" i="35"/>
  <c r="F27" i="35" s="1"/>
  <c r="F16" i="34" l="1"/>
  <c r="F25" i="34" s="1"/>
  <c r="F27" i="34" l="1"/>
  <c r="F26" i="34"/>
  <c r="F14" i="33"/>
  <c r="F21" i="33" s="1"/>
  <c r="F29" i="34" l="1"/>
  <c r="F22" i="33"/>
  <c r="F23" i="33"/>
  <c r="F14" i="32"/>
  <c r="F23" i="32" s="1"/>
  <c r="F25" i="33" l="1"/>
  <c r="F25" i="32"/>
  <c r="F24" i="32"/>
  <c r="F27" i="32" l="1"/>
  <c r="F17" i="31"/>
  <c r="F26" i="31" s="1"/>
  <c r="F27" i="31" l="1"/>
  <c r="F28" i="31"/>
  <c r="F17" i="24"/>
  <c r="F18" i="24"/>
  <c r="F16" i="30"/>
  <c r="F26" i="30" s="1"/>
  <c r="F30" i="31" l="1"/>
  <c r="F28" i="30"/>
  <c r="F27" i="30"/>
  <c r="F30" i="30" l="1"/>
  <c r="F14" i="29" l="1"/>
  <c r="F23" i="29" s="1"/>
  <c r="F25" i="29" l="1"/>
  <c r="F24" i="29"/>
  <c r="F27" i="29" l="1"/>
  <c r="F14" i="28" l="1"/>
  <c r="F23" i="28" s="1"/>
  <c r="F24" i="28" l="1"/>
  <c r="F25" i="28"/>
  <c r="F14" i="27"/>
  <c r="F23" i="27" s="1"/>
  <c r="F27" i="28" l="1"/>
  <c r="F24" i="27"/>
  <c r="F25" i="27"/>
  <c r="F17" i="26"/>
  <c r="F26" i="26" s="1"/>
  <c r="F27" i="27" l="1"/>
  <c r="F28" i="26"/>
  <c r="F27" i="26"/>
  <c r="F14" i="25"/>
  <c r="F23" i="25" s="1"/>
  <c r="F25" i="25" l="1"/>
  <c r="F24" i="25"/>
  <c r="F30" i="26"/>
  <c r="F16" i="24"/>
  <c r="F25" i="24" s="1"/>
  <c r="F27" i="25" l="1"/>
  <c r="F27" i="24"/>
  <c r="F26" i="24"/>
  <c r="F16" i="9"/>
  <c r="F29" i="9" s="1"/>
  <c r="F29" i="24" l="1"/>
  <c r="F14" i="23"/>
  <c r="F23" i="23" s="1"/>
  <c r="F14" i="20"/>
  <c r="F23" i="20" s="1"/>
  <c r="F25" i="20" l="1"/>
  <c r="F24" i="20"/>
  <c r="F24" i="23"/>
  <c r="F25" i="23"/>
  <c r="F28" i="22"/>
  <c r="F16" i="22"/>
  <c r="F15" i="22"/>
  <c r="F27" i="20" l="1"/>
  <c r="F27" i="23"/>
  <c r="F18" i="21"/>
  <c r="F25" i="21" s="1"/>
  <c r="F27" i="21" l="1"/>
  <c r="F26" i="21"/>
  <c r="F14" i="19"/>
  <c r="F23" i="19" s="1"/>
  <c r="F29" i="21" l="1"/>
  <c r="F24" i="19"/>
  <c r="F25" i="19"/>
  <c r="F14" i="18"/>
  <c r="F23" i="18" s="1"/>
  <c r="F14" i="17"/>
  <c r="F23" i="17" s="1"/>
  <c r="F27" i="19" l="1"/>
  <c r="F24" i="17"/>
  <c r="F25" i="17"/>
  <c r="F24" i="18"/>
  <c r="F25" i="18"/>
  <c r="F14" i="16"/>
  <c r="F23" i="16" s="1"/>
  <c r="F24" i="16" l="1"/>
  <c r="F25" i="16"/>
  <c r="F27" i="17"/>
  <c r="F27" i="18"/>
  <c r="F18" i="8"/>
  <c r="F27" i="16" l="1"/>
  <c r="F17" i="7"/>
  <c r="F17" i="8" l="1"/>
  <c r="F27" i="8" s="1"/>
  <c r="F29" i="8" l="1"/>
  <c r="F28" i="8"/>
  <c r="F16" i="14"/>
  <c r="F26" i="14" s="1"/>
  <c r="F28" i="14" l="1"/>
  <c r="F27" i="14"/>
  <c r="F31" i="8"/>
  <c r="F16" i="10"/>
  <c r="F27" i="10" s="1"/>
  <c r="F30" i="14" l="1"/>
  <c r="F29" i="10"/>
  <c r="F28" i="10"/>
  <c r="F14" i="12"/>
  <c r="F25" i="12" s="1"/>
  <c r="F27" i="12" l="1"/>
  <c r="F26" i="12"/>
  <c r="F31" i="10"/>
  <c r="F29" i="12" l="1"/>
  <c r="F16" i="7"/>
  <c r="F25" i="7" s="1"/>
  <c r="F19" i="4"/>
  <c r="F18" i="4"/>
  <c r="F17" i="4"/>
  <c r="F14" i="3"/>
  <c r="F16" i="2"/>
  <c r="F27" i="7" l="1"/>
  <c r="F26" i="7"/>
  <c r="F28" i="4"/>
  <c r="F29" i="4" s="1"/>
  <c r="F28" i="3"/>
  <c r="F30" i="2"/>
  <c r="F29" i="7" l="1"/>
  <c r="F30" i="4"/>
  <c r="F33" i="4" s="1"/>
</calcChain>
</file>

<file path=xl/sharedStrings.xml><?xml version="1.0" encoding="utf-8"?>
<sst xmlns="http://schemas.openxmlformats.org/spreadsheetml/2006/main" count="1075" uniqueCount="222">
  <si>
    <t>Authorised Signatory</t>
  </si>
  <si>
    <r>
      <t xml:space="preserve">      </t>
    </r>
    <r>
      <rPr>
        <b/>
        <i/>
        <u/>
        <sz val="14"/>
        <color theme="1"/>
        <rFont val="Calibri"/>
        <family val="2"/>
        <scheme val="minor"/>
      </rPr>
      <t>IFSC CODE; SRCB0000342</t>
    </r>
  </si>
  <si>
    <r>
      <t xml:space="preserve">      </t>
    </r>
    <r>
      <rPr>
        <b/>
        <i/>
        <u/>
        <sz val="14"/>
        <color theme="1"/>
        <rFont val="Calibri"/>
        <family val="2"/>
        <scheme val="minor"/>
      </rPr>
      <t>ACCOUNT NO.342500100100258</t>
    </r>
  </si>
  <si>
    <r>
      <t xml:space="preserve">      </t>
    </r>
    <r>
      <rPr>
        <b/>
        <i/>
        <u/>
        <sz val="14"/>
        <color theme="1"/>
        <rFont val="Calibri"/>
        <family val="2"/>
        <scheme val="minor"/>
      </rPr>
      <t>SARASWAT CO-OPERATIVE BANK LTD</t>
    </r>
    <r>
      <rPr>
        <b/>
        <i/>
        <sz val="14"/>
        <color theme="1"/>
        <rFont val="Calibri"/>
        <family val="2"/>
        <scheme val="minor"/>
      </rPr>
      <t>.</t>
    </r>
  </si>
  <si>
    <t>S.D.ENTERPRISES</t>
  </si>
  <si>
    <r>
      <t xml:space="preserve">                  </t>
    </r>
    <r>
      <rPr>
        <b/>
        <i/>
        <u/>
        <sz val="14"/>
        <color theme="1"/>
        <rFont val="Calibri"/>
        <family val="2"/>
        <scheme val="minor"/>
      </rPr>
      <t>BANK DITELS</t>
    </r>
  </si>
  <si>
    <t>TOTAL AMOUNT</t>
  </si>
  <si>
    <t>IGST</t>
  </si>
  <si>
    <t>BAILLEY 20 ltr Water</t>
  </si>
  <si>
    <t>AMOUNT</t>
  </si>
  <si>
    <t>RATE</t>
  </si>
  <si>
    <t>QUANTITY</t>
  </si>
  <si>
    <t>CARD NO</t>
  </si>
  <si>
    <t xml:space="preserve">DESCRIPTION OF GOODS </t>
  </si>
  <si>
    <t>Sr.no</t>
  </si>
  <si>
    <t>HSN NO.220110</t>
  </si>
  <si>
    <t>GST NO.27AADCC9446J1ZA</t>
  </si>
  <si>
    <t xml:space="preserve">INVOICE NO .        </t>
  </si>
  <si>
    <t>COMPUCOM CSI SYSTEMS INDIA PVT.LTD.</t>
  </si>
  <si>
    <t>31.03.2020</t>
  </si>
  <si>
    <t>DATE</t>
  </si>
  <si>
    <t xml:space="preserve">                        sdentp.sai@gmail.com</t>
  </si>
  <si>
    <t xml:space="preserve">                               Ph.No.9665046321  /  8888930735</t>
  </si>
  <si>
    <t xml:space="preserve">        Shop No.1A, Siddharth Complex  Vidya Nagar Pune 411015</t>
  </si>
  <si>
    <t xml:space="preserve">                             S.D.ENTERPRISES</t>
  </si>
  <si>
    <t xml:space="preserve">                                TAX INVOICE</t>
  </si>
  <si>
    <t>In Words : Ten Thousand Eight Hundred Fifty Two &amp; Eighty Paise only</t>
  </si>
  <si>
    <t>30001/09</t>
  </si>
  <si>
    <t xml:space="preserve">Magarpatta Pune </t>
  </si>
  <si>
    <t xml:space="preserve">Tower No.7 4th Floor Cybercity </t>
  </si>
  <si>
    <t xml:space="preserve"> </t>
  </si>
  <si>
    <t>Hadapser Pune</t>
  </si>
  <si>
    <t>CGST</t>
  </si>
  <si>
    <t>SGST</t>
  </si>
  <si>
    <t>GEST HOUSE</t>
  </si>
  <si>
    <t>500 ML BOX</t>
  </si>
  <si>
    <t>MAX 20 ltr Water</t>
  </si>
  <si>
    <t>GST: 27AAACS6994C1Z5</t>
  </si>
  <si>
    <t>GST NO. 27EDQPS8667Q1ZX</t>
  </si>
  <si>
    <t xml:space="preserve">S.P.Infocity S.P.A.B.7 Fursungi </t>
  </si>
  <si>
    <t xml:space="preserve"> SHAPOORJI PALLONJI AND CO.PVT.LTD.</t>
  </si>
  <si>
    <t>To,</t>
  </si>
  <si>
    <t>INVOICE</t>
  </si>
  <si>
    <t>SARASWAT CO-OPERATIVE BANK LTD</t>
  </si>
  <si>
    <t xml:space="preserve">        </t>
  </si>
  <si>
    <t>2nd floor building 4C block 4a manjri stud</t>
  </si>
  <si>
    <t>farm pvt.ltd.SEZ SP infocity sr.no.209 pune</t>
  </si>
  <si>
    <t>Saswad road Fursungi Pune 412308</t>
  </si>
  <si>
    <t>Customers Address :</t>
  </si>
  <si>
    <t>31.10.2022</t>
  </si>
  <si>
    <t>14604/04</t>
  </si>
  <si>
    <t xml:space="preserve">IN WORDS : FIVE THOUSAND SIX HUNDRED FOURTY FOUR &amp; EIGHTY PAISE ONLEY </t>
  </si>
  <si>
    <r>
      <t xml:space="preserve">      </t>
    </r>
    <r>
      <rPr>
        <b/>
        <i/>
        <u/>
        <sz val="12"/>
        <color theme="1"/>
        <rFont val="Calibri"/>
        <family val="2"/>
        <scheme val="minor"/>
      </rPr>
      <t>ACCOUNT NO.342500100100258</t>
    </r>
  </si>
  <si>
    <r>
      <t xml:space="preserve">      </t>
    </r>
    <r>
      <rPr>
        <b/>
        <i/>
        <u/>
        <sz val="12"/>
        <color theme="1"/>
        <rFont val="Calibri"/>
        <family val="2"/>
        <scheme val="minor"/>
      </rPr>
      <t>IFSC CODE; SRCB0000342</t>
    </r>
  </si>
  <si>
    <t>INFIILOOM INDIA PVT.LTD.</t>
  </si>
  <si>
    <t>Sakore Nagar</t>
  </si>
  <si>
    <t>Viman Nagar Pune</t>
  </si>
  <si>
    <t>GST: 27AAACK2518C1Z1</t>
  </si>
  <si>
    <t>Billing Address:</t>
  </si>
  <si>
    <t>IN WORDS : FOUR THOUSAND TWO HUNDRED EIGHTY SEVEN &amp; THIRTY SIX PAISE ONLY</t>
  </si>
  <si>
    <t>31.07.2023</t>
  </si>
  <si>
    <t>15001/05</t>
  </si>
  <si>
    <t>15032/35</t>
  </si>
  <si>
    <t>RAYLONG DÉCOR PVT.LTD.</t>
  </si>
  <si>
    <t>Samarth Ashok Road</t>
  </si>
  <si>
    <t>GST: 27AALCR9496B1ZU</t>
  </si>
  <si>
    <t>Site - Bluegrass Business Park Tower 2</t>
  </si>
  <si>
    <t>Nagar Road,</t>
  </si>
  <si>
    <t>Kalyani Nagar, Pune-411006</t>
  </si>
  <si>
    <t>MAJESCO SOFTWARE AND SOLUTIONS INDIA PVT.LTD.</t>
  </si>
  <si>
    <t>Unit No.501A Wing 5th floor Manikchand Ikon</t>
  </si>
  <si>
    <t>Dhole Patil Road opp Cusrow Wadia College</t>
  </si>
  <si>
    <t>Pune 411001 Maharashtra</t>
  </si>
  <si>
    <t>Wakadewadi</t>
  </si>
  <si>
    <t xml:space="preserve">Pune </t>
  </si>
  <si>
    <t>GST NO.27AAJCM5178K1ZV</t>
  </si>
  <si>
    <t>GEAST HOUSE</t>
  </si>
  <si>
    <t>Site - Bluegrass Residency Project</t>
  </si>
  <si>
    <t>OXYRICH 20 Ltr Water</t>
  </si>
  <si>
    <t>Date</t>
  </si>
  <si>
    <t>GST : 27AAPFP0869F1ZV</t>
  </si>
  <si>
    <t>PUNE</t>
  </si>
  <si>
    <t>Quality Office Charoli Pune</t>
  </si>
  <si>
    <t>PRIDE BUILDERS LLP</t>
  </si>
  <si>
    <t xml:space="preserve">  I T OFFICE Charoli Pune</t>
  </si>
  <si>
    <t>METRO SAIT RAMWADI</t>
  </si>
  <si>
    <t>PUNE-411006</t>
  </si>
  <si>
    <t>31.12.2024</t>
  </si>
  <si>
    <t>WELLINGTON Charoli Pune</t>
  </si>
  <si>
    <t xml:space="preserve">LOSSE OF EMPTY BOTTLES </t>
  </si>
  <si>
    <t>IN WORDS : TWO THOUSAND ONE HUNDRED SEVENTY FIVE ONLEY</t>
  </si>
  <si>
    <t>16601/12</t>
  </si>
  <si>
    <t>RP PROPERTIES</t>
  </si>
  <si>
    <t>Pride House 5th floor Ganeshkhind Road Near</t>
  </si>
  <si>
    <t>Pune University Pune 411016</t>
  </si>
  <si>
    <t>GST : 27AARFR1558F1ZV</t>
  </si>
  <si>
    <t>CHARHOLI INFRASTRUCTURE LLP</t>
  </si>
  <si>
    <t xml:space="preserve">5th floor S. No.108/7 Pride House near </t>
  </si>
  <si>
    <t>Caturshringi Mandir Shivjinagar pune</t>
  </si>
  <si>
    <t>GST : 27AAPFC9836P1ZE</t>
  </si>
  <si>
    <t>DAY N DAY SERVICES PRIVATE LIMITED</t>
  </si>
  <si>
    <t>GST : 33AABCD0609G1ZA</t>
  </si>
  <si>
    <t>SAIT LOCAL OFFICE</t>
  </si>
  <si>
    <t>OFFICE</t>
  </si>
  <si>
    <t>Goethe-Institut/Max Mueller Bhavan Pune</t>
  </si>
  <si>
    <t>14/3 Boat Club Road</t>
  </si>
  <si>
    <t>Pune 411001 India</t>
  </si>
  <si>
    <t>GST: 27AABTM2180J1ZI</t>
  </si>
  <si>
    <t>VIKAS KASHINATH KULKARNI</t>
  </si>
  <si>
    <t>Pathare Mala341/1/2. Pride World City</t>
  </si>
  <si>
    <t>Pune 412105</t>
  </si>
  <si>
    <t>GST : 27AADPK1021C1ZJ</t>
  </si>
  <si>
    <t>SAGITARIUS ECOSPACES LLP</t>
  </si>
  <si>
    <t>Kalyani Nagar Pune 411006</t>
  </si>
  <si>
    <t>GST: 27ADIFS7077E1ZP</t>
  </si>
  <si>
    <t>PAN NO. ADIFS7077E</t>
  </si>
  <si>
    <t>Bluegrass Residences West Avenue Road</t>
  </si>
  <si>
    <t>ACCOUNT NO.342500100100258</t>
  </si>
  <si>
    <r>
      <rPr>
        <b/>
        <i/>
        <u/>
        <sz val="13"/>
        <color theme="1"/>
        <rFont val="Calibri"/>
        <family val="2"/>
        <scheme val="minor"/>
      </rPr>
      <t>SARASWAT CO-OPERATIVE BANK LTD</t>
    </r>
    <r>
      <rPr>
        <b/>
        <i/>
        <sz val="13"/>
        <color theme="1"/>
        <rFont val="Calibri"/>
        <family val="2"/>
        <scheme val="minor"/>
      </rPr>
      <t>.</t>
    </r>
  </si>
  <si>
    <r>
      <t xml:space="preserve">      </t>
    </r>
    <r>
      <rPr>
        <b/>
        <i/>
        <u/>
        <sz val="13"/>
        <color theme="1"/>
        <rFont val="Calibri"/>
        <family val="2"/>
        <scheme val="minor"/>
      </rPr>
      <t>IFSC CODE; SRCB0000342</t>
    </r>
  </si>
  <si>
    <t xml:space="preserve">  </t>
  </si>
  <si>
    <t>Miami Office Charoli Pune</t>
  </si>
  <si>
    <t>Atlantics Project</t>
  </si>
  <si>
    <r>
      <t xml:space="preserve">                  </t>
    </r>
    <r>
      <rPr>
        <b/>
        <i/>
        <u/>
        <sz val="12"/>
        <color theme="1"/>
        <rFont val="Calibri"/>
        <family val="2"/>
        <scheme val="minor"/>
      </rPr>
      <t>BANK DITELS</t>
    </r>
  </si>
  <si>
    <r>
      <rPr>
        <b/>
        <i/>
        <u/>
        <sz val="12"/>
        <color theme="1"/>
        <rFont val="Calibri"/>
        <family val="2"/>
        <scheme val="minor"/>
      </rPr>
      <t>SARASWAT CO-OPERATIVE BANK LTD</t>
    </r>
    <r>
      <rPr>
        <b/>
        <i/>
        <sz val="12"/>
        <color theme="1"/>
        <rFont val="Calibri"/>
        <family val="2"/>
        <scheme val="minor"/>
      </rPr>
      <t>.</t>
    </r>
  </si>
  <si>
    <r>
      <t xml:space="preserve">  </t>
    </r>
    <r>
      <rPr>
        <b/>
        <i/>
        <u/>
        <sz val="12"/>
        <color theme="1"/>
        <rFont val="Calibri"/>
        <family val="2"/>
        <scheme val="minor"/>
      </rPr>
      <t>ACCOUNT NO.342500100100258</t>
    </r>
  </si>
  <si>
    <r>
      <t xml:space="preserve"> </t>
    </r>
    <r>
      <rPr>
        <b/>
        <i/>
        <u/>
        <sz val="12"/>
        <color theme="1"/>
        <rFont val="Calibri"/>
        <family val="2"/>
        <scheme val="minor"/>
      </rPr>
      <t>IFSC CODE; SRCB0000342</t>
    </r>
  </si>
  <si>
    <t>PWC CENTER Charoli Pune</t>
  </si>
  <si>
    <t>250 MI BOX</t>
  </si>
  <si>
    <t>26.09.2025</t>
  </si>
  <si>
    <t>39231/36</t>
  </si>
  <si>
    <t>IN WORDS : TWO THOUSAND SEVEN HUNDRED SEVENTY TWO ONLEY</t>
  </si>
  <si>
    <t>24301/11</t>
  </si>
  <si>
    <t>2.5.%</t>
  </si>
  <si>
    <t xml:space="preserve">FINALFUNNEL </t>
  </si>
  <si>
    <t xml:space="preserve">Office no.3010 3rd floor Solitaire business Hub </t>
  </si>
  <si>
    <t>Viman Nagar Pune 411014</t>
  </si>
  <si>
    <t>GST : 27AAFFF3564M1Z2</t>
  </si>
  <si>
    <t>30.11.2025</t>
  </si>
  <si>
    <t>IN WORDS : FOUR HUNDRED NINE &amp; FIFTY PAISE ONLEY</t>
  </si>
  <si>
    <t>SWAN DECORS LLP</t>
  </si>
  <si>
    <t xml:space="preserve">Noya-Art is life Mulik Empire 2nd floor Above </t>
  </si>
  <si>
    <t>Tonique Survey No.16/1 Kalyani Nagar 411014</t>
  </si>
  <si>
    <t>GST: 27AAOFP4097N1ZB</t>
  </si>
  <si>
    <t>TERRAIN GREENS PVT.LTD.</t>
  </si>
  <si>
    <t>GST: 27AAECT1714D1ZQ</t>
  </si>
  <si>
    <t>PRAGATI INFRAINTERIORS PVT.LTD.SALE</t>
  </si>
  <si>
    <t xml:space="preserve">Global School Group Shop no.12 Jd Gaath </t>
  </si>
  <si>
    <t>Bldg. Porwal Road Pune 412105</t>
  </si>
  <si>
    <t>GST : 27AAICP6169N1ZM</t>
  </si>
  <si>
    <t>NAC BUILDCON PVT. LTD.</t>
  </si>
  <si>
    <t>CIVIL CONTRACTORS</t>
  </si>
  <si>
    <t xml:space="preserve">Office no. A-08 3rd Floor City Vista opp Kothari </t>
  </si>
  <si>
    <t>International School Kharadi Pune 411014</t>
  </si>
  <si>
    <t>GST : 27AAFCN4974L1ZU</t>
  </si>
  <si>
    <t>Sr.No.</t>
  </si>
  <si>
    <t>44/48</t>
  </si>
  <si>
    <t>00101/04</t>
  </si>
  <si>
    <t>31.03.2026</t>
  </si>
  <si>
    <t>IN WORDS : THREE HUNDRED SIXTY SEVEN &amp; FIFTY PAISE ONLEY</t>
  </si>
  <si>
    <t>30.04.2026</t>
  </si>
  <si>
    <t>BBC ENGINEERING PVT. LTD.</t>
  </si>
  <si>
    <t>GST: 27AAKCB4560H1ZK</t>
  </si>
  <si>
    <t>IN WORDS : TWO THOUSAND NINE HUNDRED FOURTY ONLEY</t>
  </si>
  <si>
    <t>GALLANT FORCE PVT. LTD.</t>
  </si>
  <si>
    <t>GST : 27AAICG68861ZC</t>
  </si>
  <si>
    <t>17/26-27</t>
  </si>
  <si>
    <t>22/26-27</t>
  </si>
  <si>
    <t>31.05.2026</t>
  </si>
  <si>
    <t>EMPTY BOTTLES</t>
  </si>
  <si>
    <t>IN WORDS : TWO THOUSAND EIGHT HUNDRED NINTY EIGHT ONLEY</t>
  </si>
  <si>
    <t>23/26-27</t>
  </si>
  <si>
    <t>MOUNTH OF MARCH 2026 TO MAY 2026</t>
  </si>
  <si>
    <t>IN WORDS : SIX HUNDRED TWENTY THREE &amp; SEVENTY PAISE ONLEY</t>
  </si>
  <si>
    <t>38/26-27</t>
  </si>
  <si>
    <t>IN WORDS : TWO THOUSAND FOUR HUNDRED THIRTY SIX ONLEY</t>
  </si>
  <si>
    <t>30.06.2026</t>
  </si>
  <si>
    <t>50/26-27</t>
  </si>
  <si>
    <t>IN WORDS : EIGHT HUNDRED NINTEEN ONLEY</t>
  </si>
  <si>
    <t>IN WORDS : ONE THOUSAND ONE HUNDRED SEVENTY SIX ONLEY</t>
  </si>
  <si>
    <t>31.07.2026</t>
  </si>
  <si>
    <t>59/26-27</t>
  </si>
  <si>
    <t>VDM INFRA PUNE</t>
  </si>
  <si>
    <t>3 floor flat no.11 Laxmi Plaza Sr.no.164/1246</t>
  </si>
  <si>
    <t>Datta Templ Baner Pune 411045</t>
  </si>
  <si>
    <t>GST: 27AEOPN3437L1ZY</t>
  </si>
  <si>
    <t>IN WORDS : EIGHT THOUSAND THREE HUNDRED FIFTY EIGHT ONLEY</t>
  </si>
  <si>
    <t>61/26-27</t>
  </si>
  <si>
    <t>IN WORDS : ONE THOUSAND THREE HUNDRED EIGHTY SIX ONLEY</t>
  </si>
  <si>
    <t>63/26-27</t>
  </si>
  <si>
    <t>IN WORDS : TWO THOUSAND TWO HUNDRED SIXTY EIGHT ONLEY</t>
  </si>
  <si>
    <t>64/26-27</t>
  </si>
  <si>
    <t>IN WORDS : ONE THOUSAND EIGHT HUNDRED NINTY ONLEY</t>
  </si>
  <si>
    <t>IN WORDS : FOUR HUNDRED SEVENTY TWO &amp; FIFTY PAISE ONLEY</t>
  </si>
  <si>
    <t>65/26-27</t>
  </si>
  <si>
    <t>66/26-27</t>
  </si>
  <si>
    <t>IN WORDS : THREE THOUSAND ONE HUNDRED FIFTY ONLEY</t>
  </si>
  <si>
    <t>67/26-27</t>
  </si>
  <si>
    <t>IN WORDS : THREE THOUSAND TWO HUNDRED THIRTEEN ONLEY</t>
  </si>
  <si>
    <t>68/26-27</t>
  </si>
  <si>
    <t>69/26-27</t>
  </si>
  <si>
    <t>IN WORDS : TWO THOUSAND SIX HUNDRED FOURTY SIX ONLEY</t>
  </si>
  <si>
    <t>IN WORDS : FIVE THOUSAND EIGHT &amp; FIFTY PAISE ONLEY</t>
  </si>
  <si>
    <t>73/26-27</t>
  </si>
  <si>
    <t>25.08.2026</t>
  </si>
  <si>
    <t>IN WORDS : FIVE THOUSAND TWO HUNDRED NINTY TWO ONLEY</t>
  </si>
  <si>
    <t>31.08.2026</t>
  </si>
  <si>
    <t>74/26-27</t>
  </si>
  <si>
    <t>75/26-27</t>
  </si>
  <si>
    <t>IN WORDS : TWELEVE THOUSAND FIVE HUNDRED SEVENTY SEVEN &amp; NINTY FIVE PAISE ONLEY</t>
  </si>
  <si>
    <t>76/26-27</t>
  </si>
  <si>
    <t>IN WORDS : SIX THOUSAND SIX HUNDRED NINE &amp; SEVENTY FIVE PAISE ONLEY</t>
  </si>
  <si>
    <t>77/26-27</t>
  </si>
  <si>
    <t>IN WORDS : ONE THOUSAND SIX HUNDRED FIFTY THREE &amp; SEVENTY FIVE ONLEY ONLEY</t>
  </si>
  <si>
    <t>78/26-27</t>
  </si>
  <si>
    <t>LOSSE OF EMPTY BOTTLES</t>
  </si>
  <si>
    <t>IN WORDS : SEVEN THOUSAND FOURTY FIVE &amp; FIFTY PAISE ONLEY</t>
  </si>
  <si>
    <t>IN WORDS : NINE THOUSAND SEVEN HUNDRED FOURTY EIGHT &amp; TWENTY PAISE  ONLEY</t>
  </si>
  <si>
    <t>79/26-27</t>
  </si>
  <si>
    <t>IN WORDS : THREE THOUSAND THREE HUNDRED THIRT00Y NINE ONLEY</t>
  </si>
  <si>
    <t>80/26-27</t>
  </si>
  <si>
    <t>IN WORDS : NINE HUNDRED SEVENTY &amp; TWENTY PAISE ONLEY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</si>
</sst>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indexed="8"/>
      <name val="Cambria"/>
      <family val="1"/>
      <scheme val="major"/>
    </font>
    <font>
      <b/>
      <i/>
      <sz val="11"/>
      <color indexed="8"/>
      <name val="Cambria"/>
      <family val="1"/>
      <scheme val="major"/>
    </font>
    <font>
      <b/>
      <i/>
      <sz val="12"/>
      <color indexed="8"/>
      <name val="Cambria"/>
      <family val="1"/>
      <scheme val="major"/>
    </font>
    <font>
      <b/>
      <i/>
      <sz val="14"/>
      <color indexed="8"/>
      <name val="Cambria"/>
      <family val="1"/>
      <scheme val="major"/>
    </font>
    <font>
      <u/>
      <sz val="11"/>
      <color theme="10"/>
      <name val="Calibri"/>
      <family val="2"/>
      <scheme val="minor"/>
    </font>
    <font>
      <sz val="16"/>
      <color theme="1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u/>
      <sz val="14"/>
      <color indexed="8"/>
      <name val="Cambria"/>
      <family val="1"/>
      <scheme val="major"/>
    </font>
    <font>
      <sz val="10"/>
      <color rgb="FF000000"/>
      <name val="Arial Rounded MT Bold"/>
      <family val="2"/>
    </font>
    <font>
      <b/>
      <sz val="11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u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3" fillId="0" borderId="2" xfId="0" applyFont="1" applyBorder="1"/>
    <xf numFmtId="0" fontId="2" fillId="0" borderId="4" xfId="0" applyFont="1" applyBorder="1"/>
    <xf numFmtId="0" fontId="2" fillId="0" borderId="0" xfId="0" applyFont="1" applyBorder="1"/>
    <xf numFmtId="0" fontId="3" fillId="0" borderId="5" xfId="0" applyFont="1" applyBorder="1"/>
    <xf numFmtId="0" fontId="3" fillId="0" borderId="0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6" fillId="0" borderId="8" xfId="0" applyFont="1" applyBorder="1"/>
    <xf numFmtId="164" fontId="3" fillId="0" borderId="9" xfId="1" applyFont="1" applyBorder="1"/>
    <xf numFmtId="0" fontId="7" fillId="0" borderId="10" xfId="0" applyFont="1" applyBorder="1"/>
    <xf numFmtId="0" fontId="2" fillId="0" borderId="10" xfId="0" applyFont="1" applyBorder="1"/>
    <xf numFmtId="0" fontId="3" fillId="0" borderId="11" xfId="0" applyFont="1" applyBorder="1"/>
    <xf numFmtId="164" fontId="3" fillId="0" borderId="12" xfId="1" applyFont="1" applyBorder="1"/>
    <xf numFmtId="0" fontId="7" fillId="0" borderId="13" xfId="0" applyFont="1" applyBorder="1"/>
    <xf numFmtId="0" fontId="7" fillId="0" borderId="14" xfId="0" applyFont="1" applyBorder="1"/>
    <xf numFmtId="0" fontId="8" fillId="0" borderId="14" xfId="0" applyFont="1" applyBorder="1"/>
    <xf numFmtId="0" fontId="3" fillId="0" borderId="14" xfId="0" applyFont="1" applyBorder="1"/>
    <xf numFmtId="164" fontId="3" fillId="0" borderId="13" xfId="1" applyFont="1" applyBorder="1"/>
    <xf numFmtId="0" fontId="3" fillId="0" borderId="15" xfId="0" applyFont="1" applyBorder="1"/>
    <xf numFmtId="9" fontId="3" fillId="0" borderId="16" xfId="0" applyNumberFormat="1" applyFont="1" applyBorder="1"/>
    <xf numFmtId="0" fontId="3" fillId="0" borderId="16" xfId="0" applyFont="1" applyBorder="1"/>
    <xf numFmtId="0" fontId="3" fillId="0" borderId="17" xfId="0" applyFont="1" applyBorder="1"/>
    <xf numFmtId="0" fontId="8" fillId="0" borderId="18" xfId="0" applyFont="1" applyBorder="1"/>
    <xf numFmtId="0" fontId="8" fillId="0" borderId="5" xfId="0" applyFont="1" applyBorder="1"/>
    <xf numFmtId="0" fontId="8" fillId="0" borderId="12" xfId="0" applyFont="1" applyBorder="1"/>
    <xf numFmtId="164" fontId="3" fillId="0" borderId="19" xfId="1" applyFont="1" applyBorder="1"/>
    <xf numFmtId="0" fontId="8" fillId="0" borderId="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/>
    <xf numFmtId="0" fontId="8" fillId="0" borderId="0" xfId="0" applyFont="1" applyBorder="1"/>
    <xf numFmtId="0" fontId="8" fillId="0" borderId="6" xfId="0" applyFont="1" applyBorder="1"/>
    <xf numFmtId="0" fontId="8" fillId="0" borderId="7" xfId="0" applyFont="1" applyBorder="1"/>
    <xf numFmtId="0" fontId="3" fillId="0" borderId="19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4" xfId="0" applyFont="1" applyBorder="1"/>
    <xf numFmtId="0" fontId="7" fillId="0" borderId="0" xfId="0" applyFont="1" applyBorder="1"/>
    <xf numFmtId="0" fontId="7" fillId="0" borderId="5" xfId="0" applyFont="1" applyBorder="1"/>
    <xf numFmtId="0" fontId="3" fillId="0" borderId="4" xfId="0" applyFont="1" applyBorder="1"/>
    <xf numFmtId="0" fontId="3" fillId="0" borderId="1" xfId="0" applyFont="1" applyBorder="1"/>
    <xf numFmtId="0" fontId="7" fillId="0" borderId="1" xfId="0" applyFont="1" applyBorder="1"/>
    <xf numFmtId="0" fontId="14" fillId="0" borderId="2" xfId="2" applyFont="1" applyBorder="1"/>
    <xf numFmtId="0" fontId="7" fillId="0" borderId="3" xfId="0" applyFont="1" applyBorder="1"/>
    <xf numFmtId="0" fontId="7" fillId="0" borderId="9" xfId="0" applyFont="1" applyBorder="1"/>
    <xf numFmtId="0" fontId="15" fillId="0" borderId="10" xfId="0" applyFont="1" applyBorder="1"/>
    <xf numFmtId="0" fontId="7" fillId="0" borderId="11" xfId="0" applyFont="1" applyBorder="1"/>
    <xf numFmtId="0" fontId="16" fillId="0" borderId="10" xfId="0" applyFont="1" applyBorder="1"/>
    <xf numFmtId="0" fontId="17" fillId="0" borderId="6" xfId="0" applyFont="1" applyBorder="1"/>
    <xf numFmtId="0" fontId="17" fillId="0" borderId="7" xfId="0" applyFont="1" applyBorder="1"/>
    <xf numFmtId="0" fontId="18" fillId="0" borderId="7" xfId="0" applyFont="1" applyBorder="1"/>
    <xf numFmtId="0" fontId="18" fillId="0" borderId="8" xfId="0" applyFont="1" applyBorder="1"/>
    <xf numFmtId="164" fontId="3" fillId="0" borderId="20" xfId="1" applyFont="1" applyBorder="1"/>
    <xf numFmtId="0" fontId="8" fillId="0" borderId="7" xfId="0" applyFont="1" applyBorder="1" applyAlignment="1">
      <alignment horizontal="center"/>
    </xf>
    <xf numFmtId="0" fontId="7" fillId="0" borderId="2" xfId="0" applyFont="1" applyBorder="1"/>
    <xf numFmtId="9" fontId="3" fillId="0" borderId="19" xfId="0" applyNumberFormat="1" applyFont="1" applyBorder="1"/>
    <xf numFmtId="164" fontId="3" fillId="0" borderId="19" xfId="0" applyNumberFormat="1" applyFont="1" applyBorder="1"/>
    <xf numFmtId="9" fontId="3" fillId="0" borderId="7" xfId="0" applyNumberFormat="1" applyFont="1" applyBorder="1"/>
    <xf numFmtId="164" fontId="3" fillId="0" borderId="12" xfId="0" applyNumberFormat="1" applyFont="1" applyBorder="1"/>
    <xf numFmtId="0" fontId="3" fillId="0" borderId="12" xfId="0" applyFont="1" applyBorder="1"/>
    <xf numFmtId="0" fontId="3" fillId="0" borderId="10" xfId="0" applyFont="1" applyBorder="1"/>
    <xf numFmtId="164" fontId="3" fillId="0" borderId="14" xfId="0" applyNumberFormat="1" applyFont="1" applyBorder="1"/>
    <xf numFmtId="0" fontId="8" fillId="0" borderId="2" xfId="0" applyFont="1" applyBorder="1"/>
    <xf numFmtId="0" fontId="8" fillId="0" borderId="10" xfId="0" applyFont="1" applyBorder="1"/>
    <xf numFmtId="0" fontId="8" fillId="0" borderId="8" xfId="0" applyFont="1" applyBorder="1"/>
    <xf numFmtId="0" fontId="7" fillId="0" borderId="7" xfId="0" applyFont="1" applyBorder="1"/>
    <xf numFmtId="0" fontId="7" fillId="0" borderId="6" xfId="0" applyFont="1" applyBorder="1"/>
    <xf numFmtId="0" fontId="0" fillId="0" borderId="0" xfId="0" applyFont="1"/>
    <xf numFmtId="0" fontId="0" fillId="0" borderId="8" xfId="0" applyBorder="1"/>
    <xf numFmtId="0" fontId="0" fillId="0" borderId="7" xfId="0" applyBorder="1"/>
    <xf numFmtId="0" fontId="0" fillId="0" borderId="6" xfId="0" applyBorder="1"/>
    <xf numFmtId="0" fontId="15" fillId="0" borderId="8" xfId="0" applyFont="1" applyBorder="1"/>
    <xf numFmtId="0" fontId="15" fillId="0" borderId="7" xfId="0" applyFont="1" applyBorder="1"/>
    <xf numFmtId="0" fontId="15" fillId="0" borderId="6" xfId="0" applyFont="1" applyBorder="1"/>
    <xf numFmtId="0" fontId="3" fillId="0" borderId="9" xfId="0" applyFont="1" applyBorder="1"/>
    <xf numFmtId="0" fontId="4" fillId="0" borderId="5" xfId="0" applyFont="1" applyBorder="1"/>
    <xf numFmtId="0" fontId="14" fillId="0" borderId="0" xfId="2" applyFont="1" applyBorder="1"/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9" fillId="0" borderId="21" xfId="0" applyFont="1" applyBorder="1"/>
    <xf numFmtId="164" fontId="19" fillId="0" borderId="22" xfId="1" applyFont="1" applyBorder="1"/>
    <xf numFmtId="164" fontId="19" fillId="0" borderId="21" xfId="1" applyFont="1" applyBorder="1"/>
    <xf numFmtId="0" fontId="18" fillId="0" borderId="19" xfId="0" applyFont="1" applyBorder="1"/>
    <xf numFmtId="0" fontId="18" fillId="0" borderId="14" xfId="0" applyFont="1" applyBorder="1"/>
    <xf numFmtId="0" fontId="18" fillId="0" borderId="0" xfId="0" applyFont="1" applyBorder="1"/>
    <xf numFmtId="0" fontId="18" fillId="0" borderId="5" xfId="0" applyFont="1" applyBorder="1"/>
    <xf numFmtId="0" fontId="20" fillId="0" borderId="18" xfId="0" applyFont="1" applyBorder="1"/>
    <xf numFmtId="164" fontId="20" fillId="0" borderId="23" xfId="1" applyFont="1" applyBorder="1"/>
    <xf numFmtId="164" fontId="20" fillId="0" borderId="18" xfId="1" applyFont="1" applyBorder="1"/>
    <xf numFmtId="0" fontId="8" fillId="0" borderId="11" xfId="0" applyFont="1" applyBorder="1"/>
    <xf numFmtId="0" fontId="8" fillId="0" borderId="9" xfId="0" applyFont="1" applyBorder="1"/>
    <xf numFmtId="0" fontId="20" fillId="0" borderId="3" xfId="0" applyFont="1" applyBorder="1"/>
    <xf numFmtId="164" fontId="20" fillId="0" borderId="1" xfId="1" applyFont="1" applyBorder="1"/>
    <xf numFmtId="0" fontId="8" fillId="0" borderId="9" xfId="0" applyFont="1" applyBorder="1" applyAlignment="1">
      <alignment horizontal="center"/>
    </xf>
    <xf numFmtId="164" fontId="20" fillId="0" borderId="13" xfId="1" applyFont="1" applyBorder="1"/>
    <xf numFmtId="164" fontId="19" fillId="0" borderId="13" xfId="1" applyFont="1" applyBorder="1"/>
    <xf numFmtId="164" fontId="19" fillId="0" borderId="1" xfId="1" applyFont="1" applyBorder="1"/>
    <xf numFmtId="164" fontId="3" fillId="0" borderId="0" xfId="1" applyFont="1" applyBorder="1"/>
    <xf numFmtId="164" fontId="3" fillId="0" borderId="14" xfId="1" applyFont="1" applyBorder="1"/>
    <xf numFmtId="0" fontId="8" fillId="0" borderId="19" xfId="0" applyFont="1" applyBorder="1"/>
    <xf numFmtId="0" fontId="3" fillId="0" borderId="14" xfId="1" applyNumberFormat="1" applyFont="1" applyBorder="1"/>
    <xf numFmtId="0" fontId="3" fillId="0" borderId="13" xfId="1" applyNumberFormat="1" applyFont="1" applyBorder="1"/>
    <xf numFmtId="0" fontId="18" fillId="0" borderId="11" xfId="0" applyFont="1" applyBorder="1"/>
    <xf numFmtId="0" fontId="18" fillId="0" borderId="10" xfId="0" applyFont="1" applyBorder="1"/>
    <xf numFmtId="0" fontId="17" fillId="0" borderId="0" xfId="0" applyFont="1" applyBorder="1"/>
    <xf numFmtId="0" fontId="17" fillId="0" borderId="4" xfId="0" applyFont="1" applyBorder="1"/>
    <xf numFmtId="0" fontId="21" fillId="0" borderId="5" xfId="0" applyFont="1" applyBorder="1"/>
    <xf numFmtId="0" fontId="18" fillId="0" borderId="4" xfId="0" applyFont="1" applyBorder="1"/>
    <xf numFmtId="0" fontId="18" fillId="0" borderId="3" xfId="0" applyFont="1" applyBorder="1"/>
    <xf numFmtId="0" fontId="18" fillId="0" borderId="2" xfId="0" applyFont="1" applyBorder="1"/>
    <xf numFmtId="0" fontId="18" fillId="0" borderId="1" xfId="0" applyFont="1" applyBorder="1"/>
    <xf numFmtId="0" fontId="17" fillId="0" borderId="2" xfId="0" applyFont="1" applyBorder="1"/>
    <xf numFmtId="0" fontId="17" fillId="0" borderId="1" xfId="0" applyFont="1" applyBorder="1"/>
    <xf numFmtId="0" fontId="22" fillId="0" borderId="8" xfId="0" applyFont="1" applyBorder="1"/>
    <xf numFmtId="0" fontId="22" fillId="0" borderId="7" xfId="0" applyFont="1" applyBorder="1"/>
    <xf numFmtId="0" fontId="22" fillId="0" borderId="6" xfId="0" applyFont="1" applyBorder="1"/>
    <xf numFmtId="0" fontId="23" fillId="0" borderId="8" xfId="0" applyFont="1" applyBorder="1"/>
    <xf numFmtId="0" fontId="23" fillId="0" borderId="7" xfId="0" applyFont="1" applyBorder="1"/>
    <xf numFmtId="0" fontId="24" fillId="0" borderId="0" xfId="0" applyFont="1"/>
    <xf numFmtId="0" fontId="18" fillId="0" borderId="13" xfId="0" applyFont="1" applyBorder="1"/>
    <xf numFmtId="0" fontId="18" fillId="0" borderId="12" xfId="0" applyFont="1" applyBorder="1"/>
    <xf numFmtId="164" fontId="20" fillId="0" borderId="19" xfId="1" applyFont="1" applyBorder="1"/>
    <xf numFmtId="0" fontId="23" fillId="0" borderId="6" xfId="0" applyFont="1" applyBorder="1"/>
    <xf numFmtId="164" fontId="19" fillId="0" borderId="19" xfId="1" applyFont="1" applyBorder="1"/>
    <xf numFmtId="164" fontId="19" fillId="0" borderId="6" xfId="1" applyFont="1" applyBorder="1"/>
    <xf numFmtId="164" fontId="20" fillId="0" borderId="14" xfId="1" applyFont="1" applyBorder="1"/>
    <xf numFmtId="0" fontId="8" fillId="0" borderId="13" xfId="0" applyFont="1" applyBorder="1"/>
    <xf numFmtId="164" fontId="20" fillId="0" borderId="7" xfId="1" applyFont="1" applyBorder="1"/>
    <xf numFmtId="49" fontId="10" fillId="0" borderId="4" xfId="0" applyNumberFormat="1" applyFont="1" applyBorder="1" applyAlignment="1" applyProtection="1">
      <alignment shrinkToFit="1"/>
      <protection locked="0"/>
    </xf>
    <xf numFmtId="0" fontId="26" fillId="0" borderId="0" xfId="0" applyFont="1"/>
    <xf numFmtId="0" fontId="0" fillId="0" borderId="0" xfId="0" applyBorder="1"/>
    <xf numFmtId="164" fontId="3" fillId="0" borderId="10" xfId="1" applyFont="1" applyBorder="1"/>
    <xf numFmtId="164" fontId="8" fillId="0" borderId="10" xfId="1" applyFont="1" applyBorder="1"/>
    <xf numFmtId="164" fontId="8" fillId="0" borderId="9" xfId="1" applyFont="1" applyBorder="1"/>
    <xf numFmtId="164" fontId="3" fillId="0" borderId="2" xfId="1" applyFont="1" applyBorder="1"/>
    <xf numFmtId="0" fontId="19" fillId="0" borderId="2" xfId="0" applyFont="1" applyBorder="1"/>
    <xf numFmtId="164" fontId="8" fillId="0" borderId="12" xfId="1" applyFont="1" applyBorder="1"/>
    <xf numFmtId="0" fontId="27" fillId="0" borderId="0" xfId="0" applyFont="1"/>
    <xf numFmtId="0" fontId="8" fillId="0" borderId="25" xfId="0" applyFont="1" applyBorder="1"/>
    <xf numFmtId="0" fontId="8" fillId="0" borderId="26" xfId="0" applyFont="1" applyBorder="1"/>
    <xf numFmtId="9" fontId="3" fillId="0" borderId="0" xfId="0" applyNumberFormat="1" applyFont="1" applyBorder="1"/>
    <xf numFmtId="0" fontId="20" fillId="0" borderId="9" xfId="0" applyFont="1" applyBorder="1"/>
    <xf numFmtId="0" fontId="20" fillId="0" borderId="4" xfId="0" applyFont="1" applyBorder="1"/>
    <xf numFmtId="164" fontId="20" fillId="0" borderId="4" xfId="1" applyFont="1" applyBorder="1"/>
    <xf numFmtId="0" fontId="8" fillId="0" borderId="1" xfId="0" applyFont="1" applyBorder="1"/>
    <xf numFmtId="0" fontId="20" fillId="0" borderId="12" xfId="0" applyFont="1" applyBorder="1"/>
    <xf numFmtId="0" fontId="8" fillId="0" borderId="3" xfId="0" applyFont="1" applyBorder="1"/>
    <xf numFmtId="0" fontId="19" fillId="0" borderId="0" xfId="0" applyFont="1" applyBorder="1"/>
    <xf numFmtId="164" fontId="19" fillId="0" borderId="4" xfId="1" applyFont="1" applyBorder="1"/>
    <xf numFmtId="164" fontId="19" fillId="0" borderId="14" xfId="1" applyFont="1" applyBorder="1"/>
    <xf numFmtId="164" fontId="3" fillId="0" borderId="4" xfId="1" applyFont="1" applyBorder="1"/>
    <xf numFmtId="164" fontId="3" fillId="0" borderId="1" xfId="1" applyFont="1" applyBorder="1"/>
    <xf numFmtId="0" fontId="19" fillId="0" borderId="11" xfId="0" applyFont="1" applyBorder="1"/>
    <xf numFmtId="0" fontId="18" fillId="0" borderId="17" xfId="0" applyFont="1" applyBorder="1"/>
    <xf numFmtId="0" fontId="18" fillId="0" borderId="16" xfId="0" applyFont="1" applyBorder="1"/>
    <xf numFmtId="0" fontId="18" fillId="0" borderId="6" xfId="0" applyFont="1" applyBorder="1"/>
    <xf numFmtId="164" fontId="18" fillId="0" borderId="19" xfId="1" applyFont="1" applyBorder="1"/>
    <xf numFmtId="164" fontId="18" fillId="0" borderId="6" xfId="1" applyFont="1" applyBorder="1"/>
    <xf numFmtId="0" fontId="3" fillId="0" borderId="13" xfId="0" applyFont="1" applyBorder="1"/>
    <xf numFmtId="0" fontId="7" fillId="0" borderId="8" xfId="0" applyFont="1" applyBorder="1"/>
    <xf numFmtId="0" fontId="16" fillId="0" borderId="7" xfId="0" applyFont="1" applyBorder="1"/>
    <xf numFmtId="17" fontId="3" fillId="0" borderId="6" xfId="0" applyNumberFormat="1" applyFont="1" applyBorder="1"/>
    <xf numFmtId="0" fontId="19" fillId="0" borderId="6" xfId="0" applyFont="1" applyBorder="1"/>
    <xf numFmtId="164" fontId="19" fillId="0" borderId="7" xfId="1" applyFont="1" applyBorder="1"/>
    <xf numFmtId="0" fontId="3" fillId="0" borderId="27" xfId="0" applyFont="1" applyBorder="1"/>
    <xf numFmtId="0" fontId="8" fillId="0" borderId="21" xfId="0" applyFont="1" applyBorder="1"/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3" fillId="0" borderId="19" xfId="1" applyNumberFormat="1" applyFont="1" applyBorder="1"/>
    <xf numFmtId="164" fontId="3" fillId="0" borderId="7" xfId="1" applyFont="1" applyBorder="1"/>
    <xf numFmtId="49" fontId="10" fillId="0" borderId="4" xfId="0" applyNumberFormat="1" applyFont="1" applyBorder="1" applyAlignment="1" applyProtection="1">
      <alignment shrinkToFit="1"/>
      <protection locked="0"/>
    </xf>
    <xf numFmtId="0" fontId="26" fillId="0" borderId="5" xfId="0" applyFont="1" applyBorder="1"/>
    <xf numFmtId="0" fontId="0" fillId="0" borderId="5" xfId="0" applyBorder="1"/>
    <xf numFmtId="0" fontId="27" fillId="0" borderId="17" xfId="0" applyFont="1" applyBorder="1"/>
    <xf numFmtId="0" fontId="8" fillId="0" borderId="16" xfId="0" applyFont="1" applyBorder="1"/>
    <xf numFmtId="0" fontId="8" fillId="0" borderId="19" xfId="1" applyNumberFormat="1" applyFont="1" applyBorder="1"/>
    <xf numFmtId="164" fontId="8" fillId="0" borderId="7" xfId="1" applyFont="1" applyBorder="1"/>
    <xf numFmtId="164" fontId="27" fillId="0" borderId="1" xfId="1" applyFont="1" applyBorder="1"/>
    <xf numFmtId="0" fontId="0" fillId="0" borderId="19" xfId="0" applyBorder="1"/>
    <xf numFmtId="164" fontId="27" fillId="0" borderId="19" xfId="1" applyFont="1" applyBorder="1"/>
    <xf numFmtId="0" fontId="27" fillId="0" borderId="7" xfId="0" applyFont="1" applyBorder="1"/>
    <xf numFmtId="0" fontId="3" fillId="0" borderId="0" xfId="1" applyNumberFormat="1" applyFont="1" applyBorder="1"/>
    <xf numFmtId="0" fontId="3" fillId="0" borderId="2" xfId="1" applyNumberFormat="1" applyFont="1" applyBorder="1"/>
    <xf numFmtId="164" fontId="3" fillId="0" borderId="6" xfId="1" applyFont="1" applyBorder="1"/>
    <xf numFmtId="0" fontId="7" fillId="0" borderId="19" xfId="0" applyFont="1" applyBorder="1"/>
    <xf numFmtId="0" fontId="3" fillId="0" borderId="28" xfId="0" applyFont="1" applyBorder="1"/>
    <xf numFmtId="0" fontId="2" fillId="0" borderId="29" xfId="0" applyFont="1" applyBorder="1"/>
    <xf numFmtId="0" fontId="7" fillId="0" borderId="29" xfId="0" applyFont="1" applyBorder="1"/>
    <xf numFmtId="164" fontId="3" fillId="0" borderId="30" xfId="1" applyFont="1" applyBorder="1"/>
    <xf numFmtId="0" fontId="28" fillId="0" borderId="7" xfId="0" applyFont="1" applyBorder="1"/>
    <xf numFmtId="0" fontId="19" fillId="0" borderId="7" xfId="0" applyFont="1" applyBorder="1"/>
    <xf numFmtId="49" fontId="10" fillId="0" borderId="4" xfId="0" applyNumberFormat="1" applyFont="1" applyBorder="1" applyAlignment="1" applyProtection="1">
      <alignment shrinkToFit="1"/>
      <protection locked="0"/>
    </xf>
    <xf numFmtId="0" fontId="6" fillId="0" borderId="11" xfId="0" applyFont="1" applyBorder="1"/>
    <xf numFmtId="0" fontId="6" fillId="0" borderId="10" xfId="0" applyFont="1" applyBorder="1"/>
    <xf numFmtId="0" fontId="6" fillId="0" borderId="9" xfId="0" applyFont="1" applyBorder="1"/>
    <xf numFmtId="0" fontId="6" fillId="0" borderId="5" xfId="0" applyFont="1" applyBorder="1"/>
    <xf numFmtId="0" fontId="6" fillId="0" borderId="0" xfId="0" applyFont="1" applyBorder="1"/>
    <xf numFmtId="0" fontId="6" fillId="0" borderId="4" xfId="0" applyFont="1" applyBorder="1"/>
    <xf numFmtId="0" fontId="29" fillId="0" borderId="5" xfId="0" applyFont="1" applyBorder="1"/>
    <xf numFmtId="0" fontId="6" fillId="0" borderId="3" xfId="0" applyFont="1" applyBorder="1"/>
    <xf numFmtId="0" fontId="6" fillId="0" borderId="2" xfId="0" applyFont="1" applyBorder="1"/>
    <xf numFmtId="0" fontId="6" fillId="0" borderId="1" xfId="0" applyFont="1" applyBorder="1"/>
    <xf numFmtId="0" fontId="27" fillId="0" borderId="2" xfId="0" applyFont="1" applyBorder="1"/>
    <xf numFmtId="164" fontId="19" fillId="0" borderId="12" xfId="1" applyFont="1" applyBorder="1"/>
    <xf numFmtId="164" fontId="19" fillId="0" borderId="9" xfId="1" applyFont="1" applyBorder="1"/>
    <xf numFmtId="0" fontId="8" fillId="0" borderId="17" xfId="0" applyFont="1" applyBorder="1"/>
    <xf numFmtId="0" fontId="19" fillId="0" borderId="8" xfId="0" applyFont="1" applyBorder="1"/>
    <xf numFmtId="17" fontId="18" fillId="0" borderId="19" xfId="0" applyNumberFormat="1" applyFont="1" applyBorder="1"/>
    <xf numFmtId="0" fontId="27" fillId="0" borderId="15" xfId="0" applyFont="1" applyBorder="1"/>
    <xf numFmtId="9" fontId="3" fillId="0" borderId="0" xfId="0" applyNumberFormat="1" applyFont="1" applyBorder="1" applyAlignment="1">
      <alignment horizontal="right"/>
    </xf>
    <xf numFmtId="9" fontId="3" fillId="0" borderId="7" xfId="0" applyNumberFormat="1" applyFont="1" applyBorder="1" applyAlignment="1">
      <alignment horizontal="right"/>
    </xf>
    <xf numFmtId="0" fontId="8" fillId="0" borderId="28" xfId="0" applyFont="1" applyBorder="1"/>
    <xf numFmtId="0" fontId="8" fillId="0" borderId="29" xfId="0" applyFont="1" applyBorder="1"/>
    <xf numFmtId="16" fontId="3" fillId="0" borderId="12" xfId="0" applyNumberFormat="1" applyFont="1" applyBorder="1"/>
    <xf numFmtId="0" fontId="27" fillId="0" borderId="31" xfId="0" applyFont="1" applyBorder="1"/>
    <xf numFmtId="0" fontId="18" fillId="0" borderId="32" xfId="0" applyFont="1" applyBorder="1"/>
    <xf numFmtId="0" fontId="18" fillId="0" borderId="33" xfId="0" applyFont="1" applyBorder="1"/>
    <xf numFmtId="0" fontId="8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19" fillId="0" borderId="19" xfId="0" applyFont="1" applyBorder="1"/>
    <xf numFmtId="0" fontId="18" fillId="0" borderId="9" xfId="0" applyFont="1" applyBorder="1"/>
    <xf numFmtId="17" fontId="18" fillId="0" borderId="12" xfId="0" applyNumberFormat="1" applyFont="1" applyBorder="1"/>
    <xf numFmtId="164" fontId="18" fillId="0" borderId="12" xfId="1" applyFont="1" applyBorder="1"/>
    <xf numFmtId="164" fontId="18" fillId="0" borderId="9" xfId="1" applyFont="1" applyBorder="1"/>
    <xf numFmtId="0" fontId="8" fillId="0" borderId="28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49" fontId="9" fillId="0" borderId="3" xfId="0" applyNumberFormat="1" applyFont="1" applyBorder="1" applyAlignment="1" applyProtection="1">
      <alignment horizontal="left" shrinkToFit="1"/>
      <protection locked="0"/>
    </xf>
    <xf numFmtId="49" fontId="9" fillId="0" borderId="2" xfId="0" applyNumberFormat="1" applyFont="1" applyBorder="1" applyAlignment="1" applyProtection="1">
      <alignment horizontal="left" shrinkToFit="1"/>
      <protection locked="0"/>
    </xf>
    <xf numFmtId="49" fontId="9" fillId="0" borderId="1" xfId="0" applyNumberFormat="1" applyFont="1" applyBorder="1" applyAlignment="1" applyProtection="1">
      <alignment horizontal="left" shrinkToFit="1"/>
      <protection locked="0"/>
    </xf>
    <xf numFmtId="49" fontId="12" fillId="0" borderId="5" xfId="0" applyNumberFormat="1" applyFont="1" applyBorder="1" applyAlignment="1" applyProtection="1">
      <protection locked="0"/>
    </xf>
    <xf numFmtId="49" fontId="12" fillId="0" borderId="0" xfId="0" applyNumberFormat="1" applyFont="1" applyBorder="1" applyAlignment="1" applyProtection="1">
      <protection locked="0"/>
    </xf>
    <xf numFmtId="49" fontId="12" fillId="0" borderId="4" xfId="0" applyNumberFormat="1" applyFont="1" applyBorder="1" applyAlignment="1" applyProtection="1">
      <protection locked="0"/>
    </xf>
    <xf numFmtId="49" fontId="12" fillId="0" borderId="5" xfId="0" applyNumberFormat="1" applyFont="1" applyBorder="1" applyAlignment="1" applyProtection="1">
      <alignment shrinkToFit="1"/>
      <protection locked="0"/>
    </xf>
    <xf numFmtId="49" fontId="12" fillId="0" borderId="0" xfId="0" applyNumberFormat="1" applyFont="1" applyBorder="1" applyAlignment="1" applyProtection="1">
      <alignment shrinkToFit="1"/>
      <protection locked="0"/>
    </xf>
    <xf numFmtId="49" fontId="12" fillId="0" borderId="4" xfId="0" applyNumberFormat="1" applyFont="1" applyBorder="1" applyAlignment="1" applyProtection="1">
      <alignment shrinkToFit="1"/>
      <protection locked="0"/>
    </xf>
    <xf numFmtId="49" fontId="11" fillId="0" borderId="5" xfId="0" applyNumberFormat="1" applyFont="1" applyBorder="1" applyAlignment="1" applyProtection="1">
      <alignment shrinkToFit="1"/>
      <protection locked="0"/>
    </xf>
    <xf numFmtId="49" fontId="11" fillId="0" borderId="0" xfId="0" applyNumberFormat="1" applyFont="1" applyBorder="1" applyAlignment="1" applyProtection="1">
      <alignment shrinkToFit="1"/>
      <protection locked="0"/>
    </xf>
    <xf numFmtId="49" fontId="11" fillId="0" borderId="4" xfId="0" applyNumberFormat="1" applyFont="1" applyBorder="1" applyAlignment="1" applyProtection="1">
      <alignment shrinkToFit="1"/>
      <protection locked="0"/>
    </xf>
    <xf numFmtId="49" fontId="10" fillId="0" borderId="5" xfId="0" applyNumberFormat="1" applyFont="1" applyBorder="1" applyAlignment="1">
      <alignment horizontal="left"/>
    </xf>
    <xf numFmtId="49" fontId="10" fillId="0" borderId="0" xfId="0" applyNumberFormat="1" applyFont="1" applyBorder="1" applyAlignment="1">
      <alignment horizontal="left"/>
    </xf>
    <xf numFmtId="49" fontId="10" fillId="0" borderId="4" xfId="0" applyNumberFormat="1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49" fontId="9" fillId="0" borderId="4" xfId="0" applyNumberFormat="1" applyFont="1" applyBorder="1" applyAlignment="1">
      <alignment horizontal="left"/>
    </xf>
    <xf numFmtId="49" fontId="10" fillId="0" borderId="3" xfId="0" applyNumberFormat="1" applyFont="1" applyBorder="1" applyAlignment="1">
      <alignment horizontal="left"/>
    </xf>
    <xf numFmtId="49" fontId="10" fillId="0" borderId="2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49" fontId="12" fillId="0" borderId="11" xfId="0" applyNumberFormat="1" applyFont="1" applyBorder="1" applyAlignment="1" applyProtection="1">
      <protection locked="0"/>
    </xf>
    <xf numFmtId="49" fontId="12" fillId="0" borderId="10" xfId="0" applyNumberFormat="1" applyFont="1" applyBorder="1" applyAlignment="1" applyProtection="1">
      <protection locked="0"/>
    </xf>
    <xf numFmtId="49" fontId="12" fillId="0" borderId="9" xfId="0" applyNumberFormat="1" applyFont="1" applyBorder="1" applyAlignment="1" applyProtection="1">
      <protection locked="0"/>
    </xf>
    <xf numFmtId="49" fontId="10" fillId="0" borderId="5" xfId="0" applyNumberFormat="1" applyFont="1" applyBorder="1" applyAlignment="1" applyProtection="1">
      <alignment shrinkToFit="1"/>
      <protection locked="0"/>
    </xf>
    <xf numFmtId="49" fontId="10" fillId="0" borderId="0" xfId="0" applyNumberFormat="1" applyFont="1" applyBorder="1" applyAlignment="1" applyProtection="1">
      <alignment shrinkToFit="1"/>
      <protection locked="0"/>
    </xf>
    <xf numFmtId="49" fontId="10" fillId="0" borderId="4" xfId="0" applyNumberFormat="1" applyFont="1" applyBorder="1" applyAlignment="1" applyProtection="1">
      <alignment shrinkToFit="1"/>
      <protection locked="0"/>
    </xf>
    <xf numFmtId="49" fontId="10" fillId="0" borderId="8" xfId="0" applyNumberFormat="1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25" fillId="0" borderId="11" xfId="0" applyNumberFormat="1" applyFont="1" applyBorder="1" applyAlignment="1"/>
    <xf numFmtId="49" fontId="25" fillId="0" borderId="10" xfId="0" applyNumberFormat="1" applyFont="1" applyBorder="1" applyAlignment="1"/>
    <xf numFmtId="49" fontId="25" fillId="0" borderId="9" xfId="0" applyNumberFormat="1" applyFont="1" applyBorder="1" applyAlignment="1"/>
    <xf numFmtId="49" fontId="12" fillId="0" borderId="9" xfId="0" applyNumberFormat="1" applyFont="1" applyBorder="1" applyAlignment="1"/>
    <xf numFmtId="49" fontId="10" fillId="0" borderId="11" xfId="0" applyNumberFormat="1" applyFont="1" applyBorder="1" applyAlignment="1" applyProtection="1">
      <alignment horizontal="left" shrinkToFit="1"/>
      <protection locked="0"/>
    </xf>
    <xf numFmtId="49" fontId="10" fillId="0" borderId="10" xfId="0" applyNumberFormat="1" applyFont="1" applyBorder="1" applyAlignment="1" applyProtection="1">
      <alignment horizontal="left" shrinkToFit="1"/>
      <protection locked="0"/>
    </xf>
    <xf numFmtId="49" fontId="10" fillId="0" borderId="9" xfId="0" applyNumberFormat="1" applyFont="1" applyBorder="1" applyAlignment="1" applyProtection="1">
      <alignment horizontal="left" shrinkToFit="1"/>
      <protection locked="0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dentp.sai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dentp.sai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dentp.sai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dentp.sai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dentp.sai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sdentp.sai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sdentp.sai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sdentp.sai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sdentp.sai@gmail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sdentp.sai@g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sdentp.sai@gmail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sdentp.sai@gmail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sdentp.sai@g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sdentp.sai@gmail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sdentp.sai@gmail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sdentp.sai@gmail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sdentp.sai@gmail.com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sdentp.sai@gmail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sdentp.sai@gmail.com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mailto:sdentp.sai@gmail.com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sdentp.sai@gmail.com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mailto:sdentp.sai@gmail.com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mailto:sdentp.sai@gmail.com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mailto:sdentp.sai@gmail.com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mailto:sdentp.sai@gmail.com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mailto:sdentp.sai@gmail.com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mailto:sdentp.sai@gmail.com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mailto:sdentp.sai@gmail.com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mailto:sdentp.s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11" workbookViewId="0">
      <selection activeCell="D25" sqref="D25"/>
    </sheetView>
  </sheetViews>
  <sheetFormatPr defaultRowHeight="15" x14ac:dyDescent="0.25"/>
  <cols>
    <col min="1" max="1" width="6.7109375" customWidth="1"/>
    <col min="2" max="2" width="26.5703125" customWidth="1"/>
    <col min="3" max="3" width="12.28515625" customWidth="1"/>
    <col min="4" max="4" width="10.85546875" customWidth="1"/>
    <col min="5" max="5" width="13.140625" customWidth="1"/>
    <col min="6" max="6" width="16.28515625" customWidth="1"/>
  </cols>
  <sheetData>
    <row r="1" spans="1:6" ht="21.75" thickBot="1" x14ac:dyDescent="0.4">
      <c r="A1" s="55"/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9.5" thickBot="1" x14ac:dyDescent="0.35">
      <c r="A6" s="242"/>
      <c r="B6" s="243"/>
      <c r="C6" s="244"/>
      <c r="D6" s="7" t="s">
        <v>20</v>
      </c>
      <c r="E6" s="7" t="s">
        <v>19</v>
      </c>
      <c r="F6" s="49"/>
    </row>
    <row r="7" spans="1:6" ht="18.75" x14ac:dyDescent="0.3">
      <c r="A7" s="245" t="s">
        <v>18</v>
      </c>
      <c r="B7" s="246"/>
      <c r="C7" s="247"/>
      <c r="D7" s="11"/>
      <c r="E7" s="11"/>
      <c r="F7" s="48"/>
    </row>
    <row r="8" spans="1:6" ht="18.75" x14ac:dyDescent="0.3">
      <c r="A8" s="248" t="s">
        <v>29</v>
      </c>
      <c r="B8" s="249"/>
      <c r="C8" s="250"/>
      <c r="D8" s="11" t="s">
        <v>17</v>
      </c>
      <c r="E8" s="11"/>
      <c r="F8" s="48">
        <v>387</v>
      </c>
    </row>
    <row r="9" spans="1:6" ht="19.5" thickBot="1" x14ac:dyDescent="0.35">
      <c r="A9" s="248" t="s">
        <v>28</v>
      </c>
      <c r="B9" s="249"/>
      <c r="C9" s="250"/>
      <c r="D9" s="11"/>
      <c r="E9" s="11"/>
      <c r="F9" s="48"/>
    </row>
    <row r="10" spans="1:6" ht="19.5" thickBot="1" x14ac:dyDescent="0.35">
      <c r="A10" s="47"/>
      <c r="B10" s="46"/>
      <c r="C10" s="45"/>
      <c r="D10" s="44" t="s">
        <v>38</v>
      </c>
      <c r="E10" s="43"/>
      <c r="F10" s="42"/>
    </row>
    <row r="11" spans="1:6" ht="15.75" thickBot="1" x14ac:dyDescent="0.3">
      <c r="A11" s="251" t="s">
        <v>16</v>
      </c>
      <c r="B11" s="252"/>
      <c r="C11" s="253"/>
      <c r="D11" s="38"/>
      <c r="E11" s="38"/>
      <c r="F11" s="37"/>
    </row>
    <row r="12" spans="1:6" ht="19.5" thickBot="1" x14ac:dyDescent="0.35">
      <c r="A12" s="254"/>
      <c r="B12" s="255"/>
      <c r="C12" s="256"/>
      <c r="D12" s="41" t="s">
        <v>15</v>
      </c>
      <c r="E12" s="40"/>
      <c r="F12" s="39"/>
    </row>
    <row r="13" spans="1:6" ht="15.75" thickBot="1" x14ac:dyDescent="0.3">
      <c r="A13" s="239"/>
      <c r="B13" s="240"/>
      <c r="C13" s="241"/>
      <c r="D13" s="38"/>
      <c r="E13" s="38"/>
      <c r="F13" s="37"/>
    </row>
    <row r="14" spans="1:6" ht="15.75" thickBot="1" x14ac:dyDescent="0.3">
      <c r="A14" s="35" t="s">
        <v>14</v>
      </c>
      <c r="B14" s="35" t="s">
        <v>13</v>
      </c>
      <c r="C14" s="36" t="s">
        <v>12</v>
      </c>
      <c r="D14" s="35" t="s">
        <v>11</v>
      </c>
      <c r="E14" s="35" t="s">
        <v>10</v>
      </c>
      <c r="F14" s="34" t="s">
        <v>9</v>
      </c>
    </row>
    <row r="15" spans="1:6" ht="19.5" thickBot="1" x14ac:dyDescent="0.35">
      <c r="A15" s="23"/>
      <c r="B15" s="24"/>
      <c r="C15" s="23"/>
      <c r="D15" s="23"/>
      <c r="E15" s="23"/>
      <c r="F15" s="23"/>
    </row>
    <row r="16" spans="1:6" ht="19.5" thickBot="1" x14ac:dyDescent="0.35">
      <c r="A16" s="29">
        <v>1</v>
      </c>
      <c r="B16" s="28" t="s">
        <v>8</v>
      </c>
      <c r="C16" s="28" t="s">
        <v>27</v>
      </c>
      <c r="D16" s="89">
        <v>88</v>
      </c>
      <c r="E16" s="90">
        <v>42</v>
      </c>
      <c r="F16" s="91">
        <f>+D16*E16</f>
        <v>3696</v>
      </c>
    </row>
    <row r="17" spans="1:6" x14ac:dyDescent="0.25">
      <c r="A17" s="23"/>
      <c r="B17" s="23"/>
      <c r="C17" s="23"/>
      <c r="D17" s="23"/>
      <c r="E17" s="31"/>
      <c r="F17" s="32"/>
    </row>
    <row r="18" spans="1:6" x14ac:dyDescent="0.25">
      <c r="A18" s="23"/>
      <c r="B18" s="23"/>
      <c r="C18" s="23"/>
      <c r="D18" s="23"/>
      <c r="E18" s="31"/>
      <c r="F18" s="23"/>
    </row>
    <row r="19" spans="1:6" x14ac:dyDescent="0.25">
      <c r="A19" s="23"/>
      <c r="B19" s="23"/>
      <c r="C19" s="23"/>
      <c r="D19" s="23"/>
      <c r="E19" s="31"/>
      <c r="F19" s="23"/>
    </row>
    <row r="20" spans="1:6" x14ac:dyDescent="0.25">
      <c r="A20" s="23"/>
      <c r="B20" s="23"/>
      <c r="C20" s="23"/>
      <c r="D20" s="23"/>
      <c r="E20" s="31"/>
      <c r="F20" s="23"/>
    </row>
    <row r="21" spans="1:6" x14ac:dyDescent="0.25">
      <c r="A21" s="23"/>
      <c r="B21" s="23"/>
      <c r="C21" s="23"/>
      <c r="D21" s="23"/>
      <c r="E21" s="31"/>
      <c r="F21" s="23"/>
    </row>
    <row r="22" spans="1:6" x14ac:dyDescent="0.25">
      <c r="A22" s="23"/>
      <c r="B22" s="23"/>
      <c r="C22" s="23"/>
      <c r="D22" s="23"/>
      <c r="E22" s="31"/>
      <c r="F22" s="23"/>
    </row>
    <row r="23" spans="1:6" ht="15.75" thickBot="1" x14ac:dyDescent="0.3">
      <c r="A23" s="23"/>
      <c r="B23" s="23"/>
      <c r="C23" s="23"/>
      <c r="D23" s="23"/>
      <c r="E23" s="31"/>
      <c r="F23" s="30"/>
    </row>
    <row r="24" spans="1:6" ht="19.5" thickBot="1" x14ac:dyDescent="0.35">
      <c r="A24" s="29"/>
      <c r="B24" s="28" t="s">
        <v>7</v>
      </c>
      <c r="C24" s="28"/>
      <c r="D24" s="27">
        <v>0.05</v>
      </c>
      <c r="E24" s="26"/>
      <c r="F24" s="25">
        <v>1162.8</v>
      </c>
    </row>
    <row r="25" spans="1:6" x14ac:dyDescent="0.25">
      <c r="A25" s="23"/>
      <c r="B25" s="23"/>
      <c r="C25" s="23"/>
      <c r="D25" s="23"/>
      <c r="E25" s="23"/>
      <c r="F25" s="23"/>
    </row>
    <row r="26" spans="1:6" ht="18.75" x14ac:dyDescent="0.3">
      <c r="A26" s="23"/>
      <c r="B26" s="24"/>
      <c r="C26" s="23"/>
      <c r="D26" s="23"/>
      <c r="E26" s="23"/>
      <c r="F26" s="23"/>
    </row>
    <row r="27" spans="1:6" x14ac:dyDescent="0.25">
      <c r="A27" s="23"/>
      <c r="B27" s="23"/>
      <c r="C27" s="23"/>
      <c r="D27" s="23"/>
      <c r="E27" s="23"/>
      <c r="F27" s="23"/>
    </row>
    <row r="28" spans="1:6" x14ac:dyDescent="0.25">
      <c r="A28" s="22"/>
      <c r="B28" s="22"/>
      <c r="C28" s="22"/>
      <c r="D28" s="22"/>
      <c r="E28" s="22"/>
      <c r="F28" s="22"/>
    </row>
    <row r="29" spans="1:6" ht="15.75" thickBot="1" x14ac:dyDescent="0.3">
      <c r="A29" s="21"/>
      <c r="B29" s="21"/>
      <c r="C29" s="21"/>
      <c r="D29" s="21"/>
      <c r="E29" s="21"/>
      <c r="F29" s="21"/>
    </row>
    <row r="30" spans="1:6" ht="19.5" thickBot="1" x14ac:dyDescent="0.35">
      <c r="A30" s="19" t="s">
        <v>6</v>
      </c>
      <c r="B30" s="18"/>
      <c r="C30" s="17"/>
      <c r="D30" s="17"/>
      <c r="E30" s="17"/>
      <c r="F30" s="20">
        <f>SUM(F16:F29)</f>
        <v>4858.8</v>
      </c>
    </row>
    <row r="31" spans="1:6" ht="19.5" thickBot="1" x14ac:dyDescent="0.35">
      <c r="A31" s="19"/>
      <c r="B31" s="18"/>
      <c r="C31" s="17"/>
      <c r="D31" s="17"/>
      <c r="E31" s="17"/>
      <c r="F31" s="16"/>
    </row>
    <row r="32" spans="1:6" ht="18" thickBot="1" x14ac:dyDescent="0.35">
      <c r="A32" s="15" t="s">
        <v>26</v>
      </c>
      <c r="B32" s="14"/>
      <c r="C32" s="14"/>
      <c r="D32" s="13"/>
      <c r="E32" s="13"/>
      <c r="F32" s="12"/>
    </row>
    <row r="33" spans="1:6" ht="18.75" x14ac:dyDescent="0.3">
      <c r="A33" s="10" t="s">
        <v>5</v>
      </c>
      <c r="B33" s="11"/>
      <c r="C33" s="11"/>
      <c r="D33" s="10" t="s">
        <v>4</v>
      </c>
      <c r="E33" s="9"/>
      <c r="F33" s="8"/>
    </row>
    <row r="34" spans="1:6" ht="18.75" x14ac:dyDescent="0.3">
      <c r="A34" s="10" t="s">
        <v>3</v>
      </c>
      <c r="B34" s="11"/>
      <c r="C34" s="11"/>
      <c r="D34" s="10"/>
      <c r="E34" s="9"/>
      <c r="F34" s="8"/>
    </row>
    <row r="35" spans="1:6" ht="18.75" x14ac:dyDescent="0.3">
      <c r="A35" s="10" t="s">
        <v>2</v>
      </c>
      <c r="B35" s="11"/>
      <c r="C35" s="11"/>
      <c r="D35" s="10"/>
      <c r="E35" s="9"/>
      <c r="F35" s="8"/>
    </row>
    <row r="36" spans="1:6" ht="18.75" x14ac:dyDescent="0.3">
      <c r="A36" s="10" t="s">
        <v>1</v>
      </c>
      <c r="B36" s="11"/>
      <c r="C36" s="11"/>
      <c r="D36" s="10"/>
      <c r="E36" s="9"/>
      <c r="F36" s="8"/>
    </row>
    <row r="37" spans="1:6" ht="19.5" thickBot="1" x14ac:dyDescent="0.35">
      <c r="A37" s="6"/>
      <c r="B37" s="7"/>
      <c r="C37" s="7"/>
      <c r="D37" s="6" t="s">
        <v>0</v>
      </c>
      <c r="E37" s="5"/>
      <c r="F37" s="4"/>
    </row>
    <row r="38" spans="1:6" ht="15.75" thickBot="1" x14ac:dyDescent="0.3">
      <c r="A38" s="3"/>
      <c r="B38" s="2"/>
      <c r="C38" s="2"/>
      <c r="D38" s="2"/>
      <c r="E38" s="2"/>
      <c r="F38" s="1"/>
    </row>
  </sheetData>
  <mergeCells count="7">
    <mergeCell ref="A13:C13"/>
    <mergeCell ref="A6:C6"/>
    <mergeCell ref="A7:C7"/>
    <mergeCell ref="A8:C8"/>
    <mergeCell ref="A9:C9"/>
    <mergeCell ref="A11:C11"/>
    <mergeCell ref="A12:C12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12" workbookViewId="0">
      <selection activeCell="D23" sqref="D23"/>
    </sheetView>
  </sheetViews>
  <sheetFormatPr defaultRowHeight="15" x14ac:dyDescent="0.25"/>
  <cols>
    <col min="1" max="1" width="7" customWidth="1"/>
    <col min="2" max="2" width="25.85546875" customWidth="1"/>
    <col min="3" max="3" width="14.5703125" customWidth="1"/>
    <col min="4" max="4" width="11.140625" customWidth="1"/>
    <col min="5" max="5" width="11.5703125" customWidth="1"/>
    <col min="6" max="6" width="15.28515625" customWidth="1"/>
  </cols>
  <sheetData>
    <row r="1" spans="1:6" ht="21.75" thickBot="1" x14ac:dyDescent="0.4">
      <c r="A1" s="55"/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47"/>
      <c r="B5" s="85" t="s">
        <v>21</v>
      </c>
      <c r="C5" s="11"/>
      <c r="D5" s="7"/>
      <c r="E5" s="5"/>
      <c r="F5" s="50"/>
    </row>
    <row r="6" spans="1:6" ht="19.5" thickBot="1" x14ac:dyDescent="0.35">
      <c r="A6" s="260" t="s">
        <v>48</v>
      </c>
      <c r="B6" s="261"/>
      <c r="C6" s="262"/>
      <c r="D6" s="11" t="s">
        <v>20</v>
      </c>
      <c r="E6" s="11" t="s">
        <v>49</v>
      </c>
      <c r="F6" s="48"/>
    </row>
    <row r="7" spans="1:6" ht="18.75" x14ac:dyDescent="0.3">
      <c r="A7" s="245" t="s">
        <v>18</v>
      </c>
      <c r="B7" s="246"/>
      <c r="C7" s="246"/>
      <c r="D7" s="19"/>
      <c r="E7" s="69"/>
      <c r="F7" s="83"/>
    </row>
    <row r="8" spans="1:6" ht="18.75" x14ac:dyDescent="0.3">
      <c r="A8" s="245" t="s">
        <v>45</v>
      </c>
      <c r="B8" s="246"/>
      <c r="C8" s="246"/>
      <c r="D8" s="10" t="s">
        <v>17</v>
      </c>
      <c r="E8" s="11"/>
      <c r="F8" s="48">
        <v>25</v>
      </c>
    </row>
    <row r="9" spans="1:6" ht="19.5" thickBot="1" x14ac:dyDescent="0.35">
      <c r="A9" s="248" t="s">
        <v>46</v>
      </c>
      <c r="B9" s="249"/>
      <c r="C9" s="249"/>
      <c r="D9" s="6"/>
      <c r="E9" s="7"/>
      <c r="F9" s="49"/>
    </row>
    <row r="10" spans="1:6" ht="19.5" thickBot="1" x14ac:dyDescent="0.35">
      <c r="A10" s="257" t="s">
        <v>47</v>
      </c>
      <c r="B10" s="258"/>
      <c r="C10" s="259"/>
      <c r="D10" s="7" t="s">
        <v>38</v>
      </c>
      <c r="E10" s="38"/>
      <c r="F10" s="37"/>
    </row>
    <row r="11" spans="1:6" ht="19.5" thickBot="1" x14ac:dyDescent="0.35">
      <c r="A11" s="257" t="s">
        <v>16</v>
      </c>
      <c r="B11" s="258"/>
      <c r="C11" s="259"/>
      <c r="D11" s="41" t="s">
        <v>15</v>
      </c>
      <c r="E11" s="40"/>
      <c r="F11" s="39"/>
    </row>
    <row r="12" spans="1:6" ht="15.75" thickBot="1" x14ac:dyDescent="0.3">
      <c r="A12" s="35" t="s">
        <v>14</v>
      </c>
      <c r="B12" s="62" t="s">
        <v>13</v>
      </c>
      <c r="C12" s="35" t="s">
        <v>12</v>
      </c>
      <c r="D12" s="62" t="s">
        <v>11</v>
      </c>
      <c r="E12" s="35" t="s">
        <v>10</v>
      </c>
      <c r="F12" s="35" t="s">
        <v>9</v>
      </c>
    </row>
    <row r="13" spans="1:6" ht="19.5" thickBot="1" x14ac:dyDescent="0.35">
      <c r="A13" s="23"/>
      <c r="B13" s="24"/>
      <c r="C13" s="23"/>
      <c r="D13" s="23"/>
      <c r="E13" s="23"/>
      <c r="F13" s="23"/>
    </row>
    <row r="14" spans="1:6" ht="19.5" thickBot="1" x14ac:dyDescent="0.35">
      <c r="A14" s="29">
        <v>1</v>
      </c>
      <c r="B14" s="28" t="s">
        <v>8</v>
      </c>
      <c r="C14" s="28" t="s">
        <v>50</v>
      </c>
      <c r="D14" s="89">
        <v>88</v>
      </c>
      <c r="E14" s="90">
        <v>42</v>
      </c>
      <c r="F14" s="91">
        <f>+D14*E14</f>
        <v>3696</v>
      </c>
    </row>
    <row r="15" spans="1:6" x14ac:dyDescent="0.25">
      <c r="A15" s="23"/>
      <c r="B15" s="23"/>
      <c r="C15" s="23"/>
      <c r="D15" s="23"/>
      <c r="E15" s="23"/>
      <c r="F15" s="23"/>
    </row>
    <row r="16" spans="1:6" x14ac:dyDescent="0.25">
      <c r="A16" s="23"/>
      <c r="B16" s="23"/>
      <c r="C16" s="23"/>
      <c r="D16" s="23"/>
      <c r="E16" s="23"/>
      <c r="F16" s="23"/>
    </row>
    <row r="17" spans="1:6" x14ac:dyDescent="0.25">
      <c r="A17" s="23"/>
      <c r="B17" s="23"/>
      <c r="C17" s="23"/>
      <c r="D17" s="23"/>
      <c r="E17" s="23"/>
      <c r="F17" s="23"/>
    </row>
    <row r="18" spans="1:6" x14ac:dyDescent="0.25">
      <c r="A18" s="23"/>
      <c r="B18" s="23"/>
      <c r="C18" s="23"/>
      <c r="D18" s="23"/>
      <c r="E18" s="23"/>
      <c r="F18" s="23"/>
    </row>
    <row r="19" spans="1:6" x14ac:dyDescent="0.25">
      <c r="A19" s="23"/>
      <c r="B19" s="23"/>
      <c r="C19" s="23"/>
      <c r="D19" s="23"/>
      <c r="E19" s="23"/>
      <c r="F19" s="23"/>
    </row>
    <row r="20" spans="1:6" x14ac:dyDescent="0.25">
      <c r="A20" s="23"/>
      <c r="B20" s="23"/>
      <c r="C20" s="23"/>
      <c r="D20" s="23"/>
      <c r="E20" s="23"/>
      <c r="F20" s="23"/>
    </row>
    <row r="21" spans="1:6" ht="15.75" thickBot="1" x14ac:dyDescent="0.3">
      <c r="A21" s="23"/>
      <c r="B21" s="23"/>
      <c r="C21" s="23"/>
      <c r="D21" s="23"/>
      <c r="E21" s="23"/>
      <c r="F21" s="23"/>
    </row>
    <row r="22" spans="1:6" ht="19.5" thickBot="1" x14ac:dyDescent="0.35">
      <c r="A22" s="29"/>
      <c r="B22" s="28" t="s">
        <v>7</v>
      </c>
      <c r="C22" s="28"/>
      <c r="D22" s="27">
        <v>0.05</v>
      </c>
      <c r="E22" s="28"/>
      <c r="F22" s="61">
        <v>604.79999999999995</v>
      </c>
    </row>
    <row r="23" spans="1:6" x14ac:dyDescent="0.25">
      <c r="A23" s="23"/>
      <c r="B23" s="23"/>
      <c r="C23" s="23"/>
      <c r="D23" s="23"/>
      <c r="E23" s="23"/>
      <c r="F23" s="23"/>
    </row>
    <row r="24" spans="1:6" ht="18.75" x14ac:dyDescent="0.3">
      <c r="A24" s="23"/>
      <c r="B24" s="24"/>
      <c r="C24" s="23"/>
      <c r="D24" s="23" t="s">
        <v>30</v>
      </c>
      <c r="E24" s="23"/>
      <c r="F24" s="23"/>
    </row>
    <row r="25" spans="1:6" x14ac:dyDescent="0.25">
      <c r="A25" s="23"/>
      <c r="B25" s="23"/>
      <c r="C25" s="23"/>
      <c r="D25" s="23"/>
      <c r="E25" s="23"/>
      <c r="F25" s="23"/>
    </row>
    <row r="26" spans="1:6" x14ac:dyDescent="0.25">
      <c r="A26" s="22"/>
      <c r="B26" s="22"/>
      <c r="C26" s="22"/>
      <c r="D26" s="22"/>
      <c r="E26" s="22"/>
      <c r="F26" s="22"/>
    </row>
    <row r="27" spans="1:6" ht="15.75" thickBot="1" x14ac:dyDescent="0.3">
      <c r="A27" s="21"/>
      <c r="B27" s="21"/>
      <c r="C27" s="21"/>
      <c r="D27" s="21"/>
      <c r="E27" s="21"/>
      <c r="F27" s="21"/>
    </row>
    <row r="28" spans="1:6" ht="19.5" thickBot="1" x14ac:dyDescent="0.35">
      <c r="A28" s="19" t="s">
        <v>6</v>
      </c>
      <c r="B28" s="18"/>
      <c r="C28" s="17"/>
      <c r="D28" s="17"/>
      <c r="E28" s="17"/>
      <c r="F28" s="20">
        <f>SUM(F14:F27)</f>
        <v>4300.8</v>
      </c>
    </row>
    <row r="29" spans="1:6" ht="19.5" thickBot="1" x14ac:dyDescent="0.35">
      <c r="A29" s="19"/>
      <c r="B29" s="18"/>
      <c r="C29" s="17"/>
      <c r="D29" s="17"/>
      <c r="E29" s="17"/>
      <c r="F29" s="16"/>
    </row>
    <row r="30" spans="1:6" ht="16.5" thickBot="1" x14ac:dyDescent="0.3">
      <c r="A30" s="60" t="s">
        <v>51</v>
      </c>
      <c r="B30" s="59"/>
      <c r="C30" s="59"/>
      <c r="D30" s="58"/>
      <c r="E30" s="58"/>
      <c r="F30" s="57"/>
    </row>
    <row r="31" spans="1:6" ht="18.75" x14ac:dyDescent="0.3">
      <c r="A31" s="10" t="s">
        <v>5</v>
      </c>
      <c r="B31" s="11"/>
      <c r="C31" s="11"/>
      <c r="D31" s="10" t="s">
        <v>4</v>
      </c>
      <c r="E31" s="9"/>
      <c r="F31" s="8"/>
    </row>
    <row r="32" spans="1:6" ht="18.75" x14ac:dyDescent="0.3">
      <c r="A32" s="10" t="s">
        <v>3</v>
      </c>
      <c r="B32" s="11"/>
      <c r="C32" s="11"/>
      <c r="D32" s="10"/>
      <c r="E32" s="9"/>
      <c r="F32" s="8"/>
    </row>
    <row r="33" spans="1:6" ht="18.75" x14ac:dyDescent="0.3">
      <c r="A33" s="10" t="s">
        <v>2</v>
      </c>
      <c r="B33" s="11"/>
      <c r="C33" s="11"/>
      <c r="D33" s="10"/>
      <c r="E33" s="9"/>
      <c r="F33" s="8"/>
    </row>
    <row r="34" spans="1:6" ht="18.75" x14ac:dyDescent="0.3">
      <c r="A34" s="10" t="s">
        <v>1</v>
      </c>
      <c r="B34" s="11"/>
      <c r="C34" s="11"/>
      <c r="D34" s="10"/>
      <c r="E34" s="9"/>
      <c r="F34" s="8"/>
    </row>
    <row r="35" spans="1:6" ht="19.5" thickBot="1" x14ac:dyDescent="0.35">
      <c r="A35" s="6"/>
      <c r="B35" s="7"/>
      <c r="C35" s="7"/>
      <c r="D35" s="6" t="s">
        <v>0</v>
      </c>
      <c r="E35" s="5"/>
      <c r="F35" s="4"/>
    </row>
    <row r="36" spans="1:6" ht="15.75" thickBot="1" x14ac:dyDescent="0.3">
      <c r="A36" s="3"/>
      <c r="B36" s="2"/>
      <c r="C36" s="2"/>
      <c r="D36" s="2"/>
      <c r="E36" s="2"/>
      <c r="F36" s="1"/>
    </row>
  </sheetData>
  <mergeCells count="6">
    <mergeCell ref="A11:C11"/>
    <mergeCell ref="A6:C6"/>
    <mergeCell ref="A7:C7"/>
    <mergeCell ref="A8:C8"/>
    <mergeCell ref="A9:C9"/>
    <mergeCell ref="A10:C10"/>
  </mergeCells>
  <hyperlinks>
    <hyperlink ref="B5" r:id="rId1" display="sdentp.sai@gmail.com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40"/>
  <sheetViews>
    <sheetView workbookViewId="0">
      <selection activeCell="B29" sqref="B29:C30"/>
    </sheetView>
  </sheetViews>
  <sheetFormatPr defaultRowHeight="15" x14ac:dyDescent="0.25"/>
  <cols>
    <col min="1" max="1" width="6.28515625" customWidth="1"/>
    <col min="2" max="2" width="23.85546875" customWidth="1"/>
    <col min="3" max="3" width="13.28515625" customWidth="1"/>
    <col min="4" max="4" width="10.7109375" customWidth="1"/>
    <col min="5" max="5" width="12.28515625" customWidth="1"/>
    <col min="6" max="6" width="17.85546875" customWidth="1"/>
  </cols>
  <sheetData>
    <row r="5" spans="1:6" ht="15.75" thickBot="1" x14ac:dyDescent="0.3"/>
    <row r="6" spans="1:6" ht="21.75" thickBot="1" x14ac:dyDescent="0.4">
      <c r="A6" s="80"/>
      <c r="B6" s="81"/>
      <c r="C6" s="81" t="s">
        <v>42</v>
      </c>
      <c r="D6" s="81"/>
      <c r="E6" s="81"/>
      <c r="F6" s="82"/>
    </row>
    <row r="7" spans="1:6" ht="19.5" thickBot="1" x14ac:dyDescent="0.35">
      <c r="A7" s="242"/>
      <c r="B7" s="243"/>
      <c r="C7" s="244"/>
      <c r="D7" s="7" t="s">
        <v>20</v>
      </c>
      <c r="E7" s="7" t="s">
        <v>60</v>
      </c>
      <c r="F7" s="49"/>
    </row>
    <row r="8" spans="1:6" ht="18.75" x14ac:dyDescent="0.3">
      <c r="A8" s="263" t="s">
        <v>40</v>
      </c>
      <c r="B8" s="264"/>
      <c r="C8" s="265"/>
      <c r="D8" s="11"/>
      <c r="E8" s="11"/>
      <c r="F8" s="48"/>
    </row>
    <row r="9" spans="1:6" ht="18.75" x14ac:dyDescent="0.3">
      <c r="A9" s="263" t="s">
        <v>39</v>
      </c>
      <c r="B9" s="264"/>
      <c r="C9" s="265"/>
      <c r="D9" s="11" t="s">
        <v>17</v>
      </c>
      <c r="E9" s="11"/>
      <c r="F9" s="48">
        <v>67</v>
      </c>
    </row>
    <row r="10" spans="1:6" ht="19.5" thickBot="1" x14ac:dyDescent="0.35">
      <c r="A10" s="263" t="s">
        <v>31</v>
      </c>
      <c r="B10" s="264"/>
      <c r="C10" s="265"/>
      <c r="D10" s="11"/>
      <c r="E10" s="11"/>
      <c r="F10" s="48"/>
    </row>
    <row r="11" spans="1:6" ht="19.5" thickBot="1" x14ac:dyDescent="0.35">
      <c r="A11" s="47"/>
      <c r="B11" s="46"/>
      <c r="C11" s="45"/>
      <c r="D11" s="44" t="s">
        <v>38</v>
      </c>
      <c r="E11" s="43"/>
      <c r="F11" s="42"/>
    </row>
    <row r="12" spans="1:6" ht="15.75" thickBot="1" x14ac:dyDescent="0.3">
      <c r="A12" s="266" t="s">
        <v>37</v>
      </c>
      <c r="B12" s="267"/>
      <c r="C12" s="268"/>
      <c r="D12" s="38"/>
      <c r="E12" s="38"/>
      <c r="F12" s="37"/>
    </row>
    <row r="13" spans="1:6" ht="19.5" thickBot="1" x14ac:dyDescent="0.35">
      <c r="A13" s="254"/>
      <c r="B13" s="255"/>
      <c r="C13" s="256"/>
      <c r="D13" s="41" t="s">
        <v>15</v>
      </c>
      <c r="E13" s="40"/>
      <c r="F13" s="39"/>
    </row>
    <row r="14" spans="1:6" ht="15.75" thickBot="1" x14ac:dyDescent="0.3">
      <c r="A14" s="239"/>
      <c r="B14" s="240"/>
      <c r="C14" s="241"/>
      <c r="D14" s="38"/>
      <c r="E14" s="38"/>
      <c r="F14" s="37"/>
    </row>
    <row r="15" spans="1:6" ht="15.75" thickBot="1" x14ac:dyDescent="0.3">
      <c r="A15" s="35" t="s">
        <v>14</v>
      </c>
      <c r="B15" s="62" t="s">
        <v>13</v>
      </c>
      <c r="C15" s="35" t="s">
        <v>12</v>
      </c>
      <c r="D15" s="87" t="s">
        <v>11</v>
      </c>
      <c r="E15" s="86" t="s">
        <v>10</v>
      </c>
      <c r="F15" s="103" t="s">
        <v>9</v>
      </c>
    </row>
    <row r="16" spans="1:6" ht="18.75" x14ac:dyDescent="0.3">
      <c r="A16" s="23"/>
      <c r="B16" s="11"/>
      <c r="C16" s="31"/>
      <c r="D16" s="99"/>
      <c r="E16" s="32"/>
      <c r="F16" s="100"/>
    </row>
    <row r="17" spans="1:6" ht="16.5" thickBot="1" x14ac:dyDescent="0.3">
      <c r="A17" s="93">
        <v>1</v>
      </c>
      <c r="B17" s="94" t="s">
        <v>36</v>
      </c>
      <c r="C17" s="95" t="s">
        <v>61</v>
      </c>
      <c r="D17" s="101">
        <v>94</v>
      </c>
      <c r="E17" s="104">
        <v>33</v>
      </c>
      <c r="F17" s="102">
        <f>+D17*E17</f>
        <v>3102</v>
      </c>
    </row>
    <row r="18" spans="1:6" ht="16.5" thickBot="1" x14ac:dyDescent="0.3">
      <c r="A18" s="92">
        <v>2</v>
      </c>
      <c r="B18" s="59" t="s">
        <v>35</v>
      </c>
      <c r="C18" s="92"/>
      <c r="D18" s="96">
        <v>0</v>
      </c>
      <c r="E18" s="97">
        <v>250</v>
      </c>
      <c r="F18" s="98">
        <f>+D18*E18</f>
        <v>0</v>
      </c>
    </row>
    <row r="19" spans="1:6" ht="16.5" thickBot="1" x14ac:dyDescent="0.3">
      <c r="A19" s="130">
        <v>3</v>
      </c>
      <c r="B19" s="113" t="s">
        <v>34</v>
      </c>
      <c r="C19" s="130" t="s">
        <v>62</v>
      </c>
      <c r="D19" s="155">
        <v>22</v>
      </c>
      <c r="E19" s="137">
        <v>33</v>
      </c>
      <c r="F19" s="131">
        <f>+D19*E19</f>
        <v>726</v>
      </c>
    </row>
    <row r="20" spans="1:6" ht="15.75" x14ac:dyDescent="0.25">
      <c r="A20" s="112"/>
      <c r="B20" s="113"/>
      <c r="C20" s="113"/>
      <c r="D20" s="151"/>
      <c r="E20" s="153"/>
      <c r="F20" s="135"/>
    </row>
    <row r="21" spans="1:6" ht="15.75" x14ac:dyDescent="0.25">
      <c r="A21" s="95"/>
      <c r="B21" s="94"/>
      <c r="C21" s="94"/>
      <c r="D21" s="152"/>
      <c r="E21" s="153"/>
      <c r="F21" s="135"/>
    </row>
    <row r="22" spans="1:6" ht="15.75" x14ac:dyDescent="0.25">
      <c r="A22" s="95"/>
      <c r="B22" s="94"/>
      <c r="C22" s="94"/>
      <c r="D22" s="152"/>
      <c r="E22" s="153"/>
      <c r="F22" s="135"/>
    </row>
    <row r="23" spans="1:6" ht="15.75" x14ac:dyDescent="0.25">
      <c r="A23" s="95"/>
      <c r="B23" s="94"/>
      <c r="C23" s="94"/>
      <c r="D23" s="152"/>
      <c r="E23" s="153"/>
      <c r="F23" s="135"/>
    </row>
    <row r="24" spans="1:6" ht="15.75" x14ac:dyDescent="0.25">
      <c r="A24" s="95"/>
      <c r="B24" s="94"/>
      <c r="C24" s="94"/>
      <c r="D24" s="152"/>
      <c r="E24" s="153"/>
      <c r="F24" s="135"/>
    </row>
    <row r="25" spans="1:6" ht="15.75" x14ac:dyDescent="0.25">
      <c r="A25" s="95"/>
      <c r="B25" s="94"/>
      <c r="C25" s="94"/>
      <c r="D25" s="152"/>
      <c r="E25" s="153"/>
      <c r="F25" s="135"/>
    </row>
    <row r="26" spans="1:6" x14ac:dyDescent="0.25">
      <c r="A26" s="31"/>
      <c r="B26" s="38"/>
      <c r="C26" s="38"/>
      <c r="D26" s="37"/>
      <c r="E26" s="37"/>
      <c r="F26" s="23"/>
    </row>
    <row r="27" spans="1:6" x14ac:dyDescent="0.25">
      <c r="A27" s="31"/>
      <c r="B27" s="38"/>
      <c r="C27" s="38"/>
      <c r="D27" s="37"/>
      <c r="E27" s="37" t="s">
        <v>30</v>
      </c>
      <c r="F27" s="23"/>
    </row>
    <row r="28" spans="1:6" ht="19.5" thickBot="1" x14ac:dyDescent="0.35">
      <c r="A28" s="156"/>
      <c r="B28" s="71"/>
      <c r="C28" s="71"/>
      <c r="D28" s="154"/>
      <c r="E28" s="154"/>
      <c r="F28" s="70">
        <f>SUM(F17:F27)</f>
        <v>3828</v>
      </c>
    </row>
    <row r="29" spans="1:6" ht="19.5" thickBot="1" x14ac:dyDescent="0.35">
      <c r="A29" s="24"/>
      <c r="B29" s="11" t="s">
        <v>33</v>
      </c>
      <c r="C29" s="24"/>
      <c r="D29" s="150">
        <v>2.5000000000000001E-2</v>
      </c>
      <c r="E29" s="68"/>
      <c r="F29" s="67">
        <f>F28*6%</f>
        <v>229.67999999999998</v>
      </c>
    </row>
    <row r="30" spans="1:6" ht="19.5" thickBot="1" x14ac:dyDescent="0.35">
      <c r="A30" s="41"/>
      <c r="B30" s="43" t="s">
        <v>32</v>
      </c>
      <c r="C30" s="41"/>
      <c r="D30" s="66">
        <v>2.5000000000000001E-2</v>
      </c>
      <c r="E30" s="41"/>
      <c r="F30" s="65">
        <f>F28*6%</f>
        <v>229.67999999999998</v>
      </c>
    </row>
    <row r="31" spans="1:6" ht="19.5" thickBot="1" x14ac:dyDescent="0.35">
      <c r="A31" s="41"/>
      <c r="B31" s="43"/>
      <c r="C31" s="64"/>
      <c r="D31" s="43"/>
      <c r="E31" s="64"/>
      <c r="F31" s="41"/>
    </row>
    <row r="32" spans="1:6" ht="15.75" thickBot="1" x14ac:dyDescent="0.3">
      <c r="A32" s="21"/>
      <c r="B32" s="63"/>
      <c r="C32" s="21"/>
      <c r="D32" s="63"/>
      <c r="E32" s="21"/>
      <c r="F32" s="21"/>
    </row>
    <row r="33" spans="1:7" ht="19.5" thickBot="1" x14ac:dyDescent="0.35">
      <c r="A33" s="19" t="s">
        <v>6</v>
      </c>
      <c r="B33" s="18"/>
      <c r="C33" s="17"/>
      <c r="D33" s="17"/>
      <c r="E33" s="17"/>
      <c r="F33" s="33">
        <f>SUM(F28:F32)</f>
        <v>4287.3599999999997</v>
      </c>
    </row>
    <row r="34" spans="1:7" ht="15.75" thickBot="1" x14ac:dyDescent="0.3">
      <c r="A34" s="73" t="s">
        <v>59</v>
      </c>
      <c r="B34" s="40"/>
      <c r="C34" s="40"/>
      <c r="D34" s="74"/>
      <c r="E34" s="74"/>
      <c r="F34" s="75"/>
      <c r="G34" s="76"/>
    </row>
    <row r="35" spans="1:7" ht="18.75" x14ac:dyDescent="0.3">
      <c r="A35" s="19" t="s">
        <v>5</v>
      </c>
      <c r="B35" s="69"/>
      <c r="C35" s="83"/>
      <c r="D35" s="10" t="s">
        <v>4</v>
      </c>
      <c r="E35" s="9"/>
      <c r="F35" s="8"/>
    </row>
    <row r="36" spans="1:7" ht="18.75" x14ac:dyDescent="0.3">
      <c r="A36" s="84" t="s">
        <v>43</v>
      </c>
      <c r="B36" s="11"/>
      <c r="C36" s="48"/>
      <c r="D36" s="10"/>
      <c r="E36" s="9"/>
      <c r="F36" s="8"/>
    </row>
    <row r="37" spans="1:7" ht="18.75" x14ac:dyDescent="0.3">
      <c r="A37" s="10" t="s">
        <v>2</v>
      </c>
      <c r="B37" s="11"/>
      <c r="C37" s="48"/>
      <c r="D37" s="10"/>
      <c r="E37" s="9"/>
      <c r="F37" s="8"/>
    </row>
    <row r="38" spans="1:7" ht="18.75" x14ac:dyDescent="0.3">
      <c r="A38" s="10" t="s">
        <v>1</v>
      </c>
      <c r="B38" s="11"/>
      <c r="C38" s="48"/>
      <c r="D38" s="10"/>
      <c r="E38" s="9"/>
      <c r="F38" s="8"/>
    </row>
    <row r="39" spans="1:7" ht="19.5" thickBot="1" x14ac:dyDescent="0.35">
      <c r="A39" s="6"/>
      <c r="B39" s="7"/>
      <c r="C39" s="49"/>
      <c r="D39" s="6" t="s">
        <v>0</v>
      </c>
      <c r="E39" s="5"/>
      <c r="F39" s="4"/>
    </row>
    <row r="40" spans="1:7" ht="15.75" thickBot="1" x14ac:dyDescent="0.3">
      <c r="A40" s="77"/>
      <c r="B40" s="78"/>
      <c r="C40" s="78"/>
      <c r="D40" s="78"/>
      <c r="E40" s="78"/>
      <c r="F40" s="79"/>
    </row>
  </sheetData>
  <mergeCells count="7">
    <mergeCell ref="A14:C14"/>
    <mergeCell ref="A7:C7"/>
    <mergeCell ref="A8:C8"/>
    <mergeCell ref="A9:C9"/>
    <mergeCell ref="A10:C10"/>
    <mergeCell ref="A12:C12"/>
    <mergeCell ref="A13:C1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A31" sqref="A31"/>
    </sheetView>
  </sheetViews>
  <sheetFormatPr defaultRowHeight="15" x14ac:dyDescent="0.25"/>
  <cols>
    <col min="1" max="1" width="7" customWidth="1"/>
    <col min="2" max="2" width="25.28515625" customWidth="1"/>
    <col min="3" max="3" width="15.28515625" customWidth="1"/>
    <col min="4" max="4" width="12.5703125" customWidth="1"/>
    <col min="5" max="5" width="13" customWidth="1"/>
    <col min="6" max="6" width="17.5703125" customWidth="1"/>
  </cols>
  <sheetData>
    <row r="1" spans="1:6" ht="21.75" thickBot="1" x14ac:dyDescent="0.4">
      <c r="A1" s="55"/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21.75" thickBot="1" x14ac:dyDescent="0.4">
      <c r="A6" s="80"/>
      <c r="B6" s="81"/>
      <c r="C6" s="81" t="s">
        <v>42</v>
      </c>
      <c r="D6" s="81"/>
      <c r="E6" s="81"/>
      <c r="F6" s="82"/>
    </row>
    <row r="7" spans="1:6" ht="19.5" thickBot="1" x14ac:dyDescent="0.35">
      <c r="A7" s="242"/>
      <c r="B7" s="243"/>
      <c r="C7" s="244"/>
      <c r="D7" s="7" t="s">
        <v>20</v>
      </c>
      <c r="E7" s="7" t="s">
        <v>206</v>
      </c>
      <c r="F7" s="49"/>
    </row>
    <row r="8" spans="1:6" ht="18.75" x14ac:dyDescent="0.3">
      <c r="A8" s="263" t="s">
        <v>40</v>
      </c>
      <c r="B8" s="264"/>
      <c r="C8" s="265"/>
      <c r="D8" s="11"/>
      <c r="E8" s="11"/>
      <c r="F8" s="48"/>
    </row>
    <row r="9" spans="1:6" ht="18.75" x14ac:dyDescent="0.3">
      <c r="A9" s="263" t="s">
        <v>66</v>
      </c>
      <c r="B9" s="264"/>
      <c r="C9" s="265"/>
      <c r="D9" s="11" t="s">
        <v>17</v>
      </c>
      <c r="E9" s="11"/>
      <c r="F9" s="48" t="s">
        <v>208</v>
      </c>
    </row>
    <row r="10" spans="1:6" ht="19.5" thickBot="1" x14ac:dyDescent="0.35">
      <c r="A10" s="263" t="s">
        <v>67</v>
      </c>
      <c r="B10" s="264"/>
      <c r="C10" s="265"/>
      <c r="D10" s="11"/>
      <c r="E10" s="11"/>
      <c r="F10" s="48"/>
    </row>
    <row r="11" spans="1:6" ht="19.5" thickBot="1" x14ac:dyDescent="0.35">
      <c r="A11" s="139" t="s">
        <v>68</v>
      </c>
      <c r="B11" s="46"/>
      <c r="C11" s="45" t="s">
        <v>30</v>
      </c>
      <c r="D11" s="44" t="s">
        <v>38</v>
      </c>
      <c r="E11" s="43"/>
      <c r="F11" s="42"/>
    </row>
    <row r="12" spans="1:6" ht="15.75" thickBot="1" x14ac:dyDescent="0.3">
      <c r="A12" s="266" t="s">
        <v>37</v>
      </c>
      <c r="B12" s="267"/>
      <c r="C12" s="268"/>
      <c r="D12" s="38"/>
      <c r="E12" s="38"/>
      <c r="F12" s="37"/>
    </row>
    <row r="13" spans="1:6" ht="19.5" thickBot="1" x14ac:dyDescent="0.35">
      <c r="A13" s="254"/>
      <c r="B13" s="255"/>
      <c r="C13" s="256"/>
      <c r="D13" s="41" t="s">
        <v>15</v>
      </c>
      <c r="E13" s="40"/>
      <c r="F13" s="39"/>
    </row>
    <row r="14" spans="1:6" ht="15.75" thickBot="1" x14ac:dyDescent="0.3">
      <c r="A14" s="86" t="s">
        <v>14</v>
      </c>
      <c r="B14" s="103" t="s">
        <v>13</v>
      </c>
      <c r="C14" s="87" t="s">
        <v>12</v>
      </c>
      <c r="D14" s="88" t="s">
        <v>11</v>
      </c>
      <c r="E14" s="86" t="s">
        <v>10</v>
      </c>
      <c r="F14" s="103" t="s">
        <v>9</v>
      </c>
    </row>
    <row r="15" spans="1:6" ht="18.75" x14ac:dyDescent="0.3">
      <c r="A15" s="146"/>
      <c r="B15" s="141"/>
      <c r="C15" s="146"/>
      <c r="D15" s="142"/>
      <c r="E15" s="146"/>
      <c r="F15" s="143"/>
    </row>
    <row r="16" spans="1:6" ht="19.5" thickBot="1" x14ac:dyDescent="0.35">
      <c r="A16" s="111">
        <v>1</v>
      </c>
      <c r="B16" s="144" t="s">
        <v>36</v>
      </c>
      <c r="C16" s="129">
        <v>123</v>
      </c>
      <c r="D16" s="145">
        <v>363</v>
      </c>
      <c r="E16" s="105">
        <v>33</v>
      </c>
      <c r="F16" s="106">
        <f>+D16*E16</f>
        <v>11979</v>
      </c>
    </row>
    <row r="17" spans="1:6" ht="19.5" thickBot="1" x14ac:dyDescent="0.35">
      <c r="A17" s="179">
        <v>2</v>
      </c>
      <c r="B17" s="180" t="s">
        <v>76</v>
      </c>
      <c r="C17" s="92">
        <v>3135</v>
      </c>
      <c r="D17" s="201"/>
      <c r="E17" s="105">
        <v>33</v>
      </c>
      <c r="F17" s="106">
        <f>+D17*E17</f>
        <v>0</v>
      </c>
    </row>
    <row r="18" spans="1:6" ht="18.75" x14ac:dyDescent="0.3">
      <c r="A18" s="110"/>
      <c r="B18" s="107"/>
      <c r="C18" s="94"/>
      <c r="D18" s="157"/>
      <c r="E18" s="159"/>
      <c r="F18" s="158"/>
    </row>
    <row r="19" spans="1:6" ht="18.75" x14ac:dyDescent="0.3">
      <c r="A19" s="110"/>
      <c r="B19" s="107"/>
      <c r="C19" s="94"/>
      <c r="D19" s="157"/>
      <c r="E19" s="159"/>
      <c r="F19" s="159"/>
    </row>
    <row r="20" spans="1:6" ht="18.75" x14ac:dyDescent="0.3">
      <c r="A20" s="110"/>
      <c r="B20" s="107"/>
      <c r="C20" s="94"/>
      <c r="D20" s="157"/>
      <c r="E20" s="159"/>
      <c r="F20" s="159"/>
    </row>
    <row r="21" spans="1:6" ht="18.75" x14ac:dyDescent="0.3">
      <c r="A21" s="110"/>
      <c r="B21" s="107"/>
      <c r="C21" s="94"/>
      <c r="D21" s="157"/>
      <c r="E21" s="159"/>
      <c r="F21" s="159"/>
    </row>
    <row r="22" spans="1:6" ht="18.75" x14ac:dyDescent="0.3">
      <c r="A22" s="110"/>
      <c r="B22" s="107"/>
      <c r="C22" s="107"/>
      <c r="D22" s="192"/>
      <c r="E22" s="108"/>
      <c r="F22" s="108"/>
    </row>
    <row r="23" spans="1:6" ht="18.75" x14ac:dyDescent="0.3">
      <c r="A23" s="110"/>
      <c r="B23" s="107"/>
      <c r="C23" s="107"/>
      <c r="D23" s="192"/>
      <c r="E23" s="108"/>
      <c r="F23" s="108"/>
    </row>
    <row r="24" spans="1:6" ht="19.5" thickBot="1" x14ac:dyDescent="0.35">
      <c r="A24" s="111"/>
      <c r="B24" s="144"/>
      <c r="C24" s="144"/>
      <c r="D24" s="193"/>
      <c r="E24" s="25"/>
      <c r="F24" s="25"/>
    </row>
    <row r="25" spans="1:6" ht="19.5" thickBot="1" x14ac:dyDescent="0.35">
      <c r="A25" s="136"/>
      <c r="B25" s="71"/>
      <c r="C25" s="71"/>
      <c r="D25" s="154"/>
      <c r="E25" s="37"/>
      <c r="F25" s="70">
        <f>SUM(F15:F24)</f>
        <v>11979</v>
      </c>
    </row>
    <row r="26" spans="1:6" ht="19.5" thickBot="1" x14ac:dyDescent="0.35">
      <c r="A26" s="168"/>
      <c r="B26" s="11" t="s">
        <v>33</v>
      </c>
      <c r="C26" s="24"/>
      <c r="D26" s="220" t="s">
        <v>133</v>
      </c>
      <c r="E26" s="68"/>
      <c r="F26" s="67">
        <f>F25*2.5/100</f>
        <v>299.47500000000002</v>
      </c>
    </row>
    <row r="27" spans="1:6" ht="19.5" thickBot="1" x14ac:dyDescent="0.35">
      <c r="A27" s="41"/>
      <c r="B27" s="43" t="s">
        <v>32</v>
      </c>
      <c r="C27" s="41"/>
      <c r="D27" s="221" t="s">
        <v>133</v>
      </c>
      <c r="E27" s="41"/>
      <c r="F27" s="65">
        <f>F25*2.5/100</f>
        <v>299.47500000000002</v>
      </c>
    </row>
    <row r="28" spans="1:6" ht="15.75" thickBot="1" x14ac:dyDescent="0.3">
      <c r="A28" s="21"/>
      <c r="B28" s="63"/>
      <c r="C28" s="21"/>
      <c r="D28" s="63"/>
      <c r="E28" s="21"/>
      <c r="F28" s="21"/>
    </row>
    <row r="29" spans="1:6" ht="19.5" thickBot="1" x14ac:dyDescent="0.35">
      <c r="A29" s="19" t="s">
        <v>6</v>
      </c>
      <c r="B29" s="18"/>
      <c r="C29" s="17"/>
      <c r="D29" s="17"/>
      <c r="E29" s="17"/>
      <c r="F29" s="33">
        <f>SUM(F25:F28)</f>
        <v>12577.95</v>
      </c>
    </row>
    <row r="30" spans="1:6" ht="15.75" thickBot="1" x14ac:dyDescent="0.3">
      <c r="A30" s="73" t="s">
        <v>209</v>
      </c>
      <c r="B30" s="40"/>
      <c r="C30" s="40"/>
      <c r="D30" s="74"/>
      <c r="E30" s="74"/>
      <c r="F30" s="75"/>
    </row>
    <row r="31" spans="1:6" ht="18.75" x14ac:dyDescent="0.3">
      <c r="A31" s="19" t="s">
        <v>5</v>
      </c>
      <c r="B31" s="69"/>
      <c r="C31" s="83"/>
      <c r="D31" s="10" t="s">
        <v>4</v>
      </c>
      <c r="E31" s="9"/>
      <c r="F31" s="8"/>
    </row>
    <row r="32" spans="1:6" ht="18.75" x14ac:dyDescent="0.3">
      <c r="A32" s="84" t="s">
        <v>43</v>
      </c>
      <c r="B32" s="11"/>
      <c r="C32" s="48"/>
      <c r="D32" s="10"/>
      <c r="E32" s="9"/>
      <c r="F32" s="8"/>
    </row>
    <row r="33" spans="1:6" ht="18.75" x14ac:dyDescent="0.3">
      <c r="A33" s="10" t="s">
        <v>2</v>
      </c>
      <c r="B33" s="11"/>
      <c r="C33" s="48"/>
      <c r="D33" s="10"/>
      <c r="E33" s="9"/>
      <c r="F33" s="8"/>
    </row>
    <row r="34" spans="1:6" ht="18.75" x14ac:dyDescent="0.3">
      <c r="A34" s="10" t="s">
        <v>1</v>
      </c>
      <c r="B34" s="11"/>
      <c r="C34" s="48"/>
      <c r="D34" s="10"/>
      <c r="E34" s="9"/>
      <c r="F34" s="8"/>
    </row>
    <row r="35" spans="1:6" ht="19.5" thickBot="1" x14ac:dyDescent="0.35">
      <c r="A35" s="6"/>
      <c r="B35" s="7"/>
      <c r="C35" s="49"/>
      <c r="D35" s="6" t="s">
        <v>0</v>
      </c>
      <c r="E35" s="5"/>
      <c r="F35" s="4"/>
    </row>
    <row r="36" spans="1:6" ht="15.75" thickBot="1" x14ac:dyDescent="0.3">
      <c r="A36" s="77"/>
      <c r="B36" s="78"/>
      <c r="C36" s="78"/>
      <c r="D36" s="78"/>
      <c r="E36" s="78"/>
      <c r="F36" s="79"/>
    </row>
    <row r="39" spans="1:6" x14ac:dyDescent="0.25">
      <c r="F39" t="s">
        <v>44</v>
      </c>
    </row>
  </sheetData>
  <mergeCells count="6">
    <mergeCell ref="A13:C13"/>
    <mergeCell ref="A7:C7"/>
    <mergeCell ref="A8:C8"/>
    <mergeCell ref="A9:C9"/>
    <mergeCell ref="A10:C10"/>
    <mergeCell ref="A12:C12"/>
  </mergeCells>
  <hyperlinks>
    <hyperlink ref="B5" r:id="rId1" display="sdentp.sai@gmail.com"/>
  </hyperlinks>
  <pageMargins left="0.43307086614173229" right="0.23622047244094491" top="0.74803149606299213" bottom="0.74803149606299213" header="0.31496062992125984" footer="0.31496062992125984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opLeftCell="A4" workbookViewId="0">
      <selection activeCell="F9" sqref="F9"/>
    </sheetView>
  </sheetViews>
  <sheetFormatPr defaultRowHeight="15" x14ac:dyDescent="0.25"/>
  <cols>
    <col min="1" max="1" width="7.85546875" customWidth="1"/>
    <col min="2" max="2" width="24.140625" customWidth="1"/>
    <col min="3" max="3" width="11.5703125" customWidth="1"/>
    <col min="4" max="4" width="11.42578125" customWidth="1"/>
    <col min="5" max="5" width="11" customWidth="1"/>
    <col min="6" max="6" width="17.42578125" customWidth="1"/>
  </cols>
  <sheetData>
    <row r="1" spans="1:6" ht="21.75" thickBot="1" x14ac:dyDescent="0.4">
      <c r="A1" s="55"/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21.75" thickBot="1" x14ac:dyDescent="0.4">
      <c r="A6" s="80"/>
      <c r="B6" s="81"/>
      <c r="C6" s="81" t="s">
        <v>42</v>
      </c>
      <c r="D6" s="81"/>
      <c r="E6" s="81"/>
      <c r="F6" s="82"/>
    </row>
    <row r="7" spans="1:6" ht="19.5" thickBot="1" x14ac:dyDescent="0.35">
      <c r="A7" s="242"/>
      <c r="B7" s="243"/>
      <c r="C7" s="244"/>
      <c r="D7" s="7" t="s">
        <v>20</v>
      </c>
      <c r="E7" s="7" t="s">
        <v>87</v>
      </c>
      <c r="F7" s="49"/>
    </row>
    <row r="8" spans="1:6" ht="18.75" x14ac:dyDescent="0.3">
      <c r="A8" s="263" t="s">
        <v>40</v>
      </c>
      <c r="B8" s="264"/>
      <c r="C8" s="265"/>
      <c r="D8" s="11"/>
      <c r="E8" s="11"/>
      <c r="F8" s="48"/>
    </row>
    <row r="9" spans="1:6" ht="18.75" x14ac:dyDescent="0.3">
      <c r="A9" s="263" t="s">
        <v>66</v>
      </c>
      <c r="B9" s="264"/>
      <c r="C9" s="265"/>
      <c r="D9" s="11" t="s">
        <v>17</v>
      </c>
      <c r="E9" s="11"/>
      <c r="F9" s="48">
        <v>218</v>
      </c>
    </row>
    <row r="10" spans="1:6" ht="19.5" thickBot="1" x14ac:dyDescent="0.35">
      <c r="A10" s="263" t="s">
        <v>67</v>
      </c>
      <c r="B10" s="264"/>
      <c r="C10" s="265"/>
      <c r="D10" s="11"/>
      <c r="E10" s="11"/>
      <c r="F10" s="48"/>
    </row>
    <row r="11" spans="1:6" ht="19.5" thickBot="1" x14ac:dyDescent="0.35">
      <c r="A11" s="139" t="s">
        <v>68</v>
      </c>
      <c r="B11" s="46"/>
      <c r="C11" s="45" t="s">
        <v>30</v>
      </c>
      <c r="D11" s="44"/>
      <c r="E11" s="43"/>
      <c r="F11" s="42"/>
    </row>
    <row r="12" spans="1:6" ht="19.5" thickBot="1" x14ac:dyDescent="0.35">
      <c r="A12" s="254"/>
      <c r="B12" s="255"/>
      <c r="C12" s="256"/>
      <c r="D12" s="41" t="s">
        <v>15</v>
      </c>
      <c r="E12" s="40"/>
      <c r="F12" s="39"/>
    </row>
    <row r="13" spans="1:6" ht="15.75" thickBot="1" x14ac:dyDescent="0.3">
      <c r="A13" s="86" t="s">
        <v>14</v>
      </c>
      <c r="B13" s="103" t="s">
        <v>13</v>
      </c>
      <c r="C13" s="87" t="s">
        <v>12</v>
      </c>
      <c r="D13" s="88" t="s">
        <v>11</v>
      </c>
      <c r="E13" s="86" t="s">
        <v>10</v>
      </c>
      <c r="F13" s="103" t="s">
        <v>9</v>
      </c>
    </row>
    <row r="14" spans="1:6" ht="18.75" x14ac:dyDescent="0.3">
      <c r="A14" s="146"/>
      <c r="B14" s="141"/>
      <c r="C14" s="146"/>
      <c r="D14" s="142"/>
      <c r="E14" s="146"/>
      <c r="F14" s="143"/>
    </row>
    <row r="15" spans="1:6" ht="19.5" thickBot="1" x14ac:dyDescent="0.35">
      <c r="A15" s="111">
        <v>1</v>
      </c>
      <c r="B15" s="144" t="s">
        <v>36</v>
      </c>
      <c r="C15" s="129"/>
      <c r="D15" s="145"/>
      <c r="E15" s="105"/>
      <c r="F15" s="106">
        <f>+D15*E15</f>
        <v>0</v>
      </c>
    </row>
    <row r="16" spans="1:6" ht="15.75" thickBot="1" x14ac:dyDescent="0.3">
      <c r="A16" s="186">
        <v>2</v>
      </c>
      <c r="B16" s="187" t="s">
        <v>89</v>
      </c>
      <c r="C16" s="109"/>
      <c r="D16" s="191">
        <v>15</v>
      </c>
      <c r="E16" s="190">
        <v>145</v>
      </c>
      <c r="F16" s="188">
        <f>+D16*E16</f>
        <v>2175</v>
      </c>
    </row>
    <row r="17" spans="1:7" ht="18.75" x14ac:dyDescent="0.3">
      <c r="A17" s="110"/>
      <c r="B17" s="107"/>
      <c r="C17" s="94"/>
      <c r="D17" s="157"/>
      <c r="E17" s="159"/>
      <c r="F17" s="158"/>
    </row>
    <row r="18" spans="1:7" ht="18.75" x14ac:dyDescent="0.3">
      <c r="A18" s="110"/>
      <c r="B18" s="107"/>
      <c r="C18" s="94"/>
      <c r="D18" s="157"/>
      <c r="E18" s="159"/>
      <c r="F18" s="158"/>
    </row>
    <row r="19" spans="1:7" ht="18.75" x14ac:dyDescent="0.3">
      <c r="A19" s="110"/>
      <c r="B19" s="107"/>
      <c r="C19" s="94"/>
      <c r="D19" s="157"/>
      <c r="E19" s="159"/>
      <c r="F19" s="158"/>
    </row>
    <row r="20" spans="1:7" ht="19.5" thickBot="1" x14ac:dyDescent="0.35">
      <c r="A20" s="110"/>
      <c r="B20" s="107"/>
      <c r="C20" s="94"/>
      <c r="D20" s="157"/>
      <c r="E20" s="159"/>
      <c r="F20" s="158"/>
    </row>
    <row r="21" spans="1:7" ht="19.5" thickBot="1" x14ac:dyDescent="0.35">
      <c r="A21" s="110"/>
      <c r="B21" s="107"/>
      <c r="C21" s="94"/>
      <c r="D21" s="157"/>
      <c r="E21" s="159"/>
      <c r="F21" s="158"/>
      <c r="G21" s="189"/>
    </row>
    <row r="22" spans="1:7" ht="18.75" x14ac:dyDescent="0.3">
      <c r="A22" s="110"/>
      <c r="B22" s="107"/>
      <c r="C22" s="94"/>
      <c r="D22" s="157"/>
      <c r="E22" s="159"/>
      <c r="F22" s="158"/>
    </row>
    <row r="23" spans="1:7" ht="18.75" x14ac:dyDescent="0.3">
      <c r="A23" s="110"/>
      <c r="B23" s="107"/>
      <c r="C23" s="94"/>
      <c r="D23" s="157"/>
      <c r="E23" s="159"/>
      <c r="F23" s="158"/>
    </row>
    <row r="24" spans="1:7" ht="18.75" x14ac:dyDescent="0.3">
      <c r="A24" s="110"/>
      <c r="B24" s="107"/>
      <c r="C24" s="94"/>
      <c r="D24" s="157"/>
      <c r="E24" s="159"/>
      <c r="F24" s="158"/>
    </row>
    <row r="25" spans="1:7" ht="18.75" x14ac:dyDescent="0.3">
      <c r="A25" s="110"/>
      <c r="B25" s="107"/>
      <c r="C25" s="107"/>
      <c r="D25" s="192"/>
      <c r="E25" s="108"/>
      <c r="F25" s="160"/>
    </row>
    <row r="26" spans="1:7" ht="18.75" x14ac:dyDescent="0.3">
      <c r="A26" s="110"/>
      <c r="B26" s="107"/>
      <c r="C26" s="107"/>
      <c r="D26" s="192"/>
      <c r="E26" s="108"/>
      <c r="F26" s="160"/>
    </row>
    <row r="27" spans="1:7" ht="19.5" thickBot="1" x14ac:dyDescent="0.35">
      <c r="A27" s="111"/>
      <c r="B27" s="144"/>
      <c r="C27" s="144"/>
      <c r="D27" s="193"/>
      <c r="E27" s="25"/>
      <c r="F27" s="161"/>
    </row>
    <row r="28" spans="1:7" ht="19.5" thickBot="1" x14ac:dyDescent="0.35">
      <c r="A28" s="19" t="s">
        <v>6</v>
      </c>
      <c r="B28" s="18"/>
      <c r="C28" s="17"/>
      <c r="D28" s="17"/>
      <c r="E28" s="195"/>
      <c r="F28" s="194">
        <f>SUM(F16:F27)</f>
        <v>2175</v>
      </c>
    </row>
    <row r="29" spans="1:7" ht="15.75" thickBot="1" x14ac:dyDescent="0.3">
      <c r="A29" s="73" t="s">
        <v>90</v>
      </c>
      <c r="B29" s="40"/>
      <c r="C29" s="40"/>
      <c r="D29" s="74"/>
      <c r="E29" s="74"/>
      <c r="F29" s="75"/>
    </row>
    <row r="30" spans="1:7" ht="18.75" x14ac:dyDescent="0.3">
      <c r="A30" s="19" t="s">
        <v>5</v>
      </c>
      <c r="B30" s="69"/>
      <c r="C30" s="83"/>
      <c r="D30" s="10" t="s">
        <v>4</v>
      </c>
      <c r="E30" s="9"/>
      <c r="F30" s="8"/>
    </row>
    <row r="31" spans="1:7" ht="18.75" x14ac:dyDescent="0.3">
      <c r="A31" s="84" t="s">
        <v>43</v>
      </c>
      <c r="B31" s="11"/>
      <c r="C31" s="48"/>
      <c r="D31" s="10"/>
      <c r="E31" s="9"/>
      <c r="F31" s="8"/>
    </row>
    <row r="32" spans="1:7" ht="18.75" x14ac:dyDescent="0.3">
      <c r="A32" s="10" t="s">
        <v>2</v>
      </c>
      <c r="B32" s="11"/>
      <c r="C32" s="48"/>
      <c r="D32" s="10"/>
      <c r="E32" s="9"/>
      <c r="F32" s="8"/>
    </row>
    <row r="33" spans="1:6" ht="18.75" x14ac:dyDescent="0.3">
      <c r="A33" s="10" t="s">
        <v>1</v>
      </c>
      <c r="B33" s="11"/>
      <c r="C33" s="48"/>
      <c r="D33" s="10"/>
      <c r="E33" s="9"/>
      <c r="F33" s="8"/>
    </row>
    <row r="34" spans="1:6" ht="19.5" thickBot="1" x14ac:dyDescent="0.35">
      <c r="A34" s="6"/>
      <c r="B34" s="7"/>
      <c r="C34" s="49"/>
      <c r="D34" s="6" t="s">
        <v>0</v>
      </c>
      <c r="E34" s="5"/>
      <c r="F34" s="4"/>
    </row>
    <row r="35" spans="1:6" ht="15.75" thickBot="1" x14ac:dyDescent="0.3">
      <c r="A35" s="77"/>
      <c r="B35" s="78"/>
      <c r="C35" s="78"/>
      <c r="D35" s="78"/>
      <c r="E35" s="78"/>
      <c r="F35" s="79"/>
    </row>
  </sheetData>
  <mergeCells count="5">
    <mergeCell ref="A7:C7"/>
    <mergeCell ref="A8:C8"/>
    <mergeCell ref="A9:C9"/>
    <mergeCell ref="A10:C10"/>
    <mergeCell ref="A12:C12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zoomScaleNormal="100" workbookViewId="0">
      <selection activeCell="A33" sqref="A33"/>
    </sheetView>
  </sheetViews>
  <sheetFormatPr defaultRowHeight="15" x14ac:dyDescent="0.25"/>
  <cols>
    <col min="1" max="1" width="6" customWidth="1"/>
    <col min="2" max="2" width="30.28515625" customWidth="1"/>
    <col min="3" max="3" width="12.7109375" customWidth="1"/>
    <col min="4" max="4" width="9.85546875" customWidth="1"/>
    <col min="5" max="5" width="9.7109375" customWidth="1"/>
    <col min="6" max="6" width="18.5703125" customWidth="1"/>
  </cols>
  <sheetData>
    <row r="1" spans="1:6" ht="21.75" thickBot="1" x14ac:dyDescent="0.4">
      <c r="A1" s="55"/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21.75" thickBot="1" x14ac:dyDescent="0.4">
      <c r="A6" s="80"/>
      <c r="B6" s="81"/>
      <c r="C6" s="200" t="s">
        <v>42</v>
      </c>
      <c r="D6" s="81"/>
      <c r="E6" s="81"/>
      <c r="F6" s="82"/>
    </row>
    <row r="7" spans="1:6" ht="19.5" thickBot="1" x14ac:dyDescent="0.35">
      <c r="A7" s="242"/>
      <c r="B7" s="243"/>
      <c r="C7" s="244"/>
      <c r="D7" s="7" t="s">
        <v>20</v>
      </c>
      <c r="E7" s="7" t="s">
        <v>206</v>
      </c>
      <c r="F7" s="49"/>
    </row>
    <row r="8" spans="1:6" ht="18.75" x14ac:dyDescent="0.3">
      <c r="A8" s="263" t="s">
        <v>40</v>
      </c>
      <c r="B8" s="264"/>
      <c r="C8" s="265"/>
      <c r="D8" s="11"/>
      <c r="E8" s="11"/>
      <c r="F8" s="48"/>
    </row>
    <row r="9" spans="1:6" ht="18.75" x14ac:dyDescent="0.3">
      <c r="A9" s="263" t="s">
        <v>77</v>
      </c>
      <c r="B9" s="264"/>
      <c r="C9" s="265"/>
      <c r="D9" s="11" t="s">
        <v>17</v>
      </c>
      <c r="E9" s="11"/>
      <c r="F9" s="48" t="s">
        <v>207</v>
      </c>
    </row>
    <row r="10" spans="1:6" ht="19.5" thickBot="1" x14ac:dyDescent="0.35">
      <c r="A10" s="139" t="s">
        <v>68</v>
      </c>
      <c r="B10" s="46"/>
      <c r="C10" s="138"/>
      <c r="D10" s="11"/>
      <c r="E10" s="11"/>
      <c r="F10" s="48"/>
    </row>
    <row r="11" spans="1:6" ht="19.5" thickBot="1" x14ac:dyDescent="0.35">
      <c r="C11" s="45"/>
      <c r="D11" s="44" t="s">
        <v>38</v>
      </c>
      <c r="E11" s="43"/>
      <c r="F11" s="42"/>
    </row>
    <row r="12" spans="1:6" ht="15.75" thickBot="1" x14ac:dyDescent="0.3">
      <c r="A12" s="266" t="s">
        <v>37</v>
      </c>
      <c r="B12" s="267"/>
      <c r="C12" s="268"/>
      <c r="D12" s="38"/>
      <c r="E12" s="38"/>
      <c r="F12" s="37"/>
    </row>
    <row r="13" spans="1:6" ht="19.5" thickBot="1" x14ac:dyDescent="0.35">
      <c r="A13" s="254"/>
      <c r="B13" s="255"/>
      <c r="C13" s="256"/>
      <c r="D13" s="41" t="s">
        <v>15</v>
      </c>
      <c r="E13" s="40"/>
      <c r="F13" s="39"/>
    </row>
    <row r="14" spans="1:6" ht="15.75" thickBot="1" x14ac:dyDescent="0.3">
      <c r="A14" s="239"/>
      <c r="B14" s="240"/>
      <c r="C14" s="241"/>
      <c r="D14" s="38"/>
      <c r="E14" s="38"/>
      <c r="F14" s="37"/>
    </row>
    <row r="15" spans="1:6" ht="15.75" thickBot="1" x14ac:dyDescent="0.3">
      <c r="A15" s="35" t="s">
        <v>14</v>
      </c>
      <c r="B15" s="62" t="s">
        <v>13</v>
      </c>
      <c r="C15" s="35" t="s">
        <v>12</v>
      </c>
      <c r="D15" s="62" t="s">
        <v>11</v>
      </c>
      <c r="E15" s="35" t="s">
        <v>10</v>
      </c>
      <c r="F15" s="35" t="s">
        <v>9</v>
      </c>
    </row>
    <row r="16" spans="1:6" ht="16.5" thickBot="1" x14ac:dyDescent="0.3">
      <c r="A16" s="130"/>
      <c r="B16" s="94" t="s">
        <v>36</v>
      </c>
      <c r="C16" s="130"/>
      <c r="D16" s="113"/>
      <c r="E16" s="130"/>
      <c r="F16" s="130"/>
    </row>
    <row r="17" spans="1:7" ht="16.5" thickBot="1" x14ac:dyDescent="0.3">
      <c r="A17" s="92">
        <v>1</v>
      </c>
      <c r="B17" s="165" t="s">
        <v>102</v>
      </c>
      <c r="C17" s="218"/>
      <c r="D17" s="60">
        <v>203</v>
      </c>
      <c r="E17" s="166">
        <v>33</v>
      </c>
      <c r="F17" s="167">
        <f>+D17*E17</f>
        <v>6699</v>
      </c>
    </row>
    <row r="18" spans="1:7" ht="16.5" thickBot="1" x14ac:dyDescent="0.3">
      <c r="A18" s="163">
        <v>3</v>
      </c>
      <c r="B18" s="164" t="s">
        <v>78</v>
      </c>
      <c r="C18" s="164">
        <v>126</v>
      </c>
      <c r="D18" s="60">
        <v>47</v>
      </c>
      <c r="E18" s="166">
        <v>55</v>
      </c>
      <c r="F18" s="167">
        <f>+D18*E18</f>
        <v>2585</v>
      </c>
    </row>
    <row r="19" spans="1:7" ht="15.75" x14ac:dyDescent="0.25">
      <c r="A19" s="93"/>
      <c r="B19" s="94"/>
      <c r="C19" s="94"/>
      <c r="D19" s="117"/>
      <c r="E19" s="117"/>
      <c r="F19" s="93"/>
    </row>
    <row r="20" spans="1:7" ht="15.75" x14ac:dyDescent="0.25">
      <c r="A20" s="93"/>
      <c r="B20" s="94"/>
      <c r="C20" s="94"/>
      <c r="D20" s="117"/>
      <c r="E20" s="117"/>
      <c r="F20" s="93"/>
    </row>
    <row r="21" spans="1:7" ht="15.75" x14ac:dyDescent="0.25">
      <c r="A21" s="93"/>
      <c r="B21" s="94"/>
      <c r="C21" s="94"/>
      <c r="D21" s="117"/>
      <c r="E21" s="117"/>
      <c r="F21" s="93"/>
    </row>
    <row r="22" spans="1:7" ht="15.75" x14ac:dyDescent="0.25">
      <c r="A22" s="93"/>
      <c r="B22" s="94"/>
      <c r="C22" s="94"/>
      <c r="D22" s="117"/>
      <c r="E22" s="117"/>
      <c r="F22" s="93"/>
    </row>
    <row r="23" spans="1:7" ht="15.75" x14ac:dyDescent="0.25">
      <c r="A23" s="93"/>
      <c r="B23" s="94"/>
      <c r="C23" s="94"/>
      <c r="D23" s="117"/>
      <c r="E23" s="117"/>
      <c r="F23" s="93"/>
    </row>
    <row r="24" spans="1:7" ht="15.75" x14ac:dyDescent="0.25">
      <c r="A24" s="93"/>
      <c r="B24" s="94"/>
      <c r="C24" s="94"/>
      <c r="D24" s="117"/>
      <c r="E24" s="117"/>
      <c r="F24" s="93"/>
    </row>
    <row r="25" spans="1:7" ht="15.75" x14ac:dyDescent="0.25">
      <c r="A25" s="93"/>
      <c r="B25" s="94"/>
      <c r="C25" s="94"/>
      <c r="D25" s="117"/>
      <c r="E25" s="117"/>
      <c r="F25" s="93"/>
    </row>
    <row r="26" spans="1:7" ht="15.75" x14ac:dyDescent="0.25">
      <c r="A26" s="93"/>
      <c r="B26" s="94"/>
      <c r="C26" s="94"/>
      <c r="D26" s="117"/>
      <c r="E26" s="117" t="s">
        <v>30</v>
      </c>
      <c r="F26" s="93"/>
    </row>
    <row r="27" spans="1:7" ht="19.5" thickBot="1" x14ac:dyDescent="0.35">
      <c r="A27" s="136"/>
      <c r="B27" s="71"/>
      <c r="C27" s="71"/>
      <c r="D27" s="154"/>
      <c r="E27" s="37"/>
      <c r="F27" s="70">
        <f>SUM(F17:F26)</f>
        <v>9284</v>
      </c>
    </row>
    <row r="28" spans="1:7" ht="19.5" thickBot="1" x14ac:dyDescent="0.35">
      <c r="A28" s="168"/>
      <c r="B28" s="11" t="s">
        <v>33</v>
      </c>
      <c r="C28" s="24"/>
      <c r="D28" s="220" t="s">
        <v>133</v>
      </c>
      <c r="E28" s="68"/>
      <c r="F28" s="67">
        <f>F27*2.5/100</f>
        <v>232.1</v>
      </c>
    </row>
    <row r="29" spans="1:7" ht="19.5" thickBot="1" x14ac:dyDescent="0.35">
      <c r="A29" s="41"/>
      <c r="B29" s="43" t="s">
        <v>32</v>
      </c>
      <c r="C29" s="41"/>
      <c r="D29" s="221" t="s">
        <v>133</v>
      </c>
      <c r="E29" s="41"/>
      <c r="F29" s="65">
        <f>F27*2.5/100</f>
        <v>232.1</v>
      </c>
    </row>
    <row r="30" spans="1:7" ht="15.75" thickBot="1" x14ac:dyDescent="0.3">
      <c r="A30" s="21"/>
      <c r="B30" s="63"/>
      <c r="C30" s="21"/>
      <c r="D30" s="63"/>
      <c r="E30" s="21"/>
      <c r="F30" s="21"/>
    </row>
    <row r="31" spans="1:7" ht="19.5" thickBot="1" x14ac:dyDescent="0.35">
      <c r="A31" s="19" t="s">
        <v>6</v>
      </c>
      <c r="B31" s="18"/>
      <c r="C31" s="17"/>
      <c r="D31" s="17"/>
      <c r="E31" s="17"/>
      <c r="F31" s="33">
        <f>F27+F28+F29</f>
        <v>9748.2000000000007</v>
      </c>
    </row>
    <row r="32" spans="1:7" ht="15.75" thickBot="1" x14ac:dyDescent="0.3">
      <c r="A32" s="126" t="s">
        <v>217</v>
      </c>
      <c r="B32" s="127"/>
      <c r="C32" s="127"/>
      <c r="D32" s="127"/>
      <c r="E32" s="127"/>
      <c r="F32" s="132"/>
      <c r="G32" s="128"/>
    </row>
    <row r="33" spans="1:6" ht="15.75" x14ac:dyDescent="0.25">
      <c r="A33" s="95" t="s">
        <v>120</v>
      </c>
      <c r="B33" s="94"/>
      <c r="C33" s="117"/>
      <c r="D33" s="95" t="s">
        <v>4</v>
      </c>
      <c r="E33" s="114"/>
      <c r="F33" s="115"/>
    </row>
    <row r="34" spans="1:6" ht="15.75" x14ac:dyDescent="0.25">
      <c r="A34" s="116" t="s">
        <v>43</v>
      </c>
      <c r="B34" s="94"/>
      <c r="C34" s="117"/>
      <c r="D34" s="95"/>
      <c r="E34" s="114"/>
      <c r="F34" s="115"/>
    </row>
    <row r="35" spans="1:6" ht="15.75" x14ac:dyDescent="0.25">
      <c r="A35" s="95" t="s">
        <v>52</v>
      </c>
      <c r="B35" s="94"/>
      <c r="C35" s="117"/>
      <c r="D35" s="95"/>
      <c r="E35" s="114"/>
      <c r="F35" s="115"/>
    </row>
    <row r="36" spans="1:6" ht="15.75" x14ac:dyDescent="0.25">
      <c r="A36" s="95" t="s">
        <v>53</v>
      </c>
      <c r="B36" s="94"/>
      <c r="C36" s="117"/>
      <c r="D36" s="95"/>
      <c r="E36" s="114"/>
      <c r="F36" s="115"/>
    </row>
    <row r="37" spans="1:6" ht="16.5" thickBot="1" x14ac:dyDescent="0.3">
      <c r="A37" s="118"/>
      <c r="B37" s="119"/>
      <c r="C37" s="120"/>
      <c r="D37" s="118" t="s">
        <v>0</v>
      </c>
      <c r="E37" s="121"/>
      <c r="F37" s="122"/>
    </row>
    <row r="38" spans="1:6" ht="16.5" thickBot="1" x14ac:dyDescent="0.3">
      <c r="A38" s="123"/>
      <c r="B38" s="124"/>
      <c r="C38" s="124"/>
      <c r="D38" s="124"/>
      <c r="E38" s="124"/>
      <c r="F38" s="125"/>
    </row>
  </sheetData>
  <mergeCells count="6">
    <mergeCell ref="A14:C14"/>
    <mergeCell ref="A7:C7"/>
    <mergeCell ref="A8:C8"/>
    <mergeCell ref="A9:C9"/>
    <mergeCell ref="A12:C12"/>
    <mergeCell ref="A13:C13"/>
  </mergeCells>
  <hyperlinks>
    <hyperlink ref="B5" r:id="rId1" display="sdentp.sai@gmail.com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 x14ac:dyDescent="0.25"/>
  <cols>
    <col min="1" max="1" width="6.7109375" customWidth="1"/>
    <col min="2" max="2" width="30.85546875" customWidth="1"/>
    <col min="3" max="4" width="11.5703125" customWidth="1"/>
    <col min="5" max="5" width="11" customWidth="1"/>
    <col min="6" max="6" width="18" customWidth="1"/>
  </cols>
  <sheetData>
    <row r="1" spans="1:6" ht="21.75" thickBot="1" x14ac:dyDescent="0.4">
      <c r="A1" s="55"/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21.75" thickBot="1" x14ac:dyDescent="0.4">
      <c r="A6" s="80"/>
      <c r="B6" s="81"/>
      <c r="C6" s="81" t="s">
        <v>42</v>
      </c>
      <c r="D6" s="81"/>
      <c r="E6" s="81"/>
      <c r="F6" s="82"/>
    </row>
    <row r="7" spans="1:6" ht="19.5" thickBot="1" x14ac:dyDescent="0.35">
      <c r="A7" s="242"/>
      <c r="B7" s="243"/>
      <c r="C7" s="244"/>
      <c r="D7" s="7" t="s">
        <v>20</v>
      </c>
      <c r="E7" s="7" t="s">
        <v>168</v>
      </c>
      <c r="F7" s="49"/>
    </row>
    <row r="8" spans="1:6" ht="18.75" x14ac:dyDescent="0.3">
      <c r="A8" s="263" t="s">
        <v>40</v>
      </c>
      <c r="B8" s="264"/>
      <c r="C8" s="265"/>
      <c r="D8" s="11"/>
      <c r="E8" s="11"/>
      <c r="F8" s="48"/>
    </row>
    <row r="9" spans="1:6" ht="18.75" x14ac:dyDescent="0.3">
      <c r="A9" s="263" t="s">
        <v>85</v>
      </c>
      <c r="B9" s="264"/>
      <c r="C9" s="265"/>
      <c r="D9" s="11" t="s">
        <v>17</v>
      </c>
      <c r="E9" s="11"/>
      <c r="F9" s="48" t="s">
        <v>171</v>
      </c>
    </row>
    <row r="10" spans="1:6" ht="19.5" thickBot="1" x14ac:dyDescent="0.35">
      <c r="A10" s="182" t="s">
        <v>86</v>
      </c>
      <c r="B10" s="46"/>
      <c r="C10" s="181"/>
      <c r="D10" s="11"/>
      <c r="E10" s="11"/>
      <c r="F10" s="48"/>
    </row>
    <row r="11" spans="1:6" ht="19.5" thickBot="1" x14ac:dyDescent="0.35">
      <c r="A11" s="183"/>
      <c r="B11" s="140"/>
      <c r="C11" s="45"/>
      <c r="D11" s="44" t="s">
        <v>38</v>
      </c>
      <c r="E11" s="43"/>
      <c r="F11" s="42"/>
    </row>
    <row r="12" spans="1:6" ht="15.75" thickBot="1" x14ac:dyDescent="0.3">
      <c r="A12" s="266" t="s">
        <v>37</v>
      </c>
      <c r="B12" s="267"/>
      <c r="C12" s="268"/>
      <c r="D12" s="38"/>
      <c r="E12" s="38"/>
      <c r="F12" s="37"/>
    </row>
    <row r="13" spans="1:6" ht="19.5" thickBot="1" x14ac:dyDescent="0.35">
      <c r="A13" s="254"/>
      <c r="B13" s="255"/>
      <c r="C13" s="256"/>
      <c r="D13" s="41" t="s">
        <v>15</v>
      </c>
      <c r="E13" s="40"/>
      <c r="F13" s="39"/>
    </row>
    <row r="14" spans="1:6" ht="15.75" thickBot="1" x14ac:dyDescent="0.3">
      <c r="A14" s="239"/>
      <c r="B14" s="240"/>
      <c r="C14" s="241"/>
      <c r="D14" s="38"/>
      <c r="E14" s="38"/>
      <c r="F14" s="37"/>
    </row>
    <row r="15" spans="1:6" ht="15.75" thickBot="1" x14ac:dyDescent="0.3">
      <c r="A15" s="86" t="s">
        <v>14</v>
      </c>
      <c r="B15" s="87" t="s">
        <v>13</v>
      </c>
      <c r="C15" s="86" t="s">
        <v>12</v>
      </c>
      <c r="D15" s="87" t="s">
        <v>11</v>
      </c>
      <c r="E15" s="86" t="s">
        <v>10</v>
      </c>
      <c r="F15" s="86" t="s">
        <v>9</v>
      </c>
    </row>
    <row r="16" spans="1:6" ht="15.75" thickBot="1" x14ac:dyDescent="0.3">
      <c r="A16" s="228"/>
      <c r="B16" s="229" t="s">
        <v>172</v>
      </c>
      <c r="C16" s="229"/>
      <c r="D16" s="229"/>
      <c r="E16" s="229"/>
      <c r="F16" s="230"/>
    </row>
    <row r="17" spans="1:6" ht="16.5" thickBot="1" x14ac:dyDescent="0.3">
      <c r="A17" s="225"/>
      <c r="B17" s="226" t="s">
        <v>36</v>
      </c>
      <c r="C17" s="226"/>
      <c r="D17" s="226"/>
      <c r="E17" s="226"/>
      <c r="F17" s="227"/>
    </row>
    <row r="18" spans="1:6" ht="16.5" thickBot="1" x14ac:dyDescent="0.3">
      <c r="A18" s="184"/>
      <c r="B18" s="219" t="s">
        <v>103</v>
      </c>
      <c r="C18" s="109" t="s">
        <v>132</v>
      </c>
      <c r="D18" s="59">
        <v>18</v>
      </c>
      <c r="E18" s="166">
        <v>33</v>
      </c>
      <c r="F18" s="167">
        <f>+D18*E18</f>
        <v>594</v>
      </c>
    </row>
    <row r="19" spans="1:6" x14ac:dyDescent="0.25">
      <c r="A19" s="23"/>
      <c r="B19" s="38"/>
      <c r="C19" s="23"/>
      <c r="D19" s="38"/>
      <c r="E19" s="23"/>
      <c r="F19" s="37"/>
    </row>
    <row r="20" spans="1:6" x14ac:dyDescent="0.25">
      <c r="A20" s="23"/>
      <c r="B20" s="38"/>
      <c r="C20" s="23"/>
      <c r="D20" s="38"/>
      <c r="E20" s="23"/>
      <c r="F20" s="37"/>
    </row>
    <row r="21" spans="1:6" x14ac:dyDescent="0.25">
      <c r="A21" s="23"/>
      <c r="B21" s="38"/>
      <c r="C21" s="23"/>
      <c r="D21" s="38"/>
      <c r="E21" s="23"/>
      <c r="F21" s="37"/>
    </row>
    <row r="22" spans="1:6" x14ac:dyDescent="0.25">
      <c r="A22" s="23"/>
      <c r="B22" s="38"/>
      <c r="C22" s="23"/>
      <c r="D22" s="38"/>
      <c r="E22" s="23"/>
      <c r="F22" s="37"/>
    </row>
    <row r="23" spans="1:6" x14ac:dyDescent="0.25">
      <c r="A23" s="23"/>
      <c r="B23" s="38"/>
      <c r="C23" s="23"/>
      <c r="D23" s="38"/>
      <c r="E23" s="23"/>
      <c r="F23" s="37"/>
    </row>
    <row r="24" spans="1:6" x14ac:dyDescent="0.25">
      <c r="A24" s="23"/>
      <c r="B24" s="38"/>
      <c r="C24" s="23"/>
      <c r="D24" s="38"/>
      <c r="E24" s="23" t="s">
        <v>30</v>
      </c>
      <c r="F24" s="37"/>
    </row>
    <row r="25" spans="1:6" ht="19.5" thickBot="1" x14ac:dyDescent="0.35">
      <c r="A25" s="136"/>
      <c r="B25" s="71"/>
      <c r="C25" s="71"/>
      <c r="D25" s="154"/>
      <c r="E25" s="37"/>
      <c r="F25" s="70">
        <f>SUM(F14:F24)</f>
        <v>594</v>
      </c>
    </row>
    <row r="26" spans="1:6" ht="19.5" thickBot="1" x14ac:dyDescent="0.35">
      <c r="A26" s="168"/>
      <c r="B26" s="11" t="s">
        <v>33</v>
      </c>
      <c r="C26" s="24"/>
      <c r="D26" s="220" t="s">
        <v>133</v>
      </c>
      <c r="E26" s="68"/>
      <c r="F26" s="67">
        <f>F25*2.5/100</f>
        <v>14.85</v>
      </c>
    </row>
    <row r="27" spans="1:6" ht="19.5" thickBot="1" x14ac:dyDescent="0.35">
      <c r="A27" s="41"/>
      <c r="B27" s="43" t="s">
        <v>32</v>
      </c>
      <c r="C27" s="41"/>
      <c r="D27" s="221" t="s">
        <v>133</v>
      </c>
      <c r="E27" s="41"/>
      <c r="F27" s="65">
        <f>F25*2.5/100</f>
        <v>14.85</v>
      </c>
    </row>
    <row r="28" spans="1:6" ht="15.75" thickBot="1" x14ac:dyDescent="0.3">
      <c r="A28" s="21"/>
      <c r="B28" s="63"/>
      <c r="C28" s="21"/>
      <c r="D28" s="63"/>
      <c r="E28" s="21"/>
      <c r="F28" s="21"/>
    </row>
    <row r="29" spans="1:6" ht="19.5" thickBot="1" x14ac:dyDescent="0.35">
      <c r="A29" s="19" t="s">
        <v>6</v>
      </c>
      <c r="B29" s="18"/>
      <c r="C29" s="17"/>
      <c r="D29" s="17"/>
      <c r="E29" s="17"/>
      <c r="F29" s="33">
        <f>F25+F26+F27</f>
        <v>623.70000000000005</v>
      </c>
    </row>
    <row r="30" spans="1:6" ht="15.75" thickBot="1" x14ac:dyDescent="0.3">
      <c r="A30" s="126" t="s">
        <v>173</v>
      </c>
      <c r="B30" s="127"/>
      <c r="C30" s="127"/>
      <c r="D30" s="127"/>
      <c r="E30" s="127"/>
      <c r="F30" s="132"/>
    </row>
    <row r="31" spans="1:6" ht="15.75" x14ac:dyDescent="0.25">
      <c r="A31" s="95"/>
      <c r="B31" s="94"/>
      <c r="C31" s="117"/>
      <c r="D31" s="95" t="s">
        <v>4</v>
      </c>
      <c r="E31" s="114"/>
      <c r="F31" s="115"/>
    </row>
    <row r="32" spans="1:6" ht="15.75" x14ac:dyDescent="0.25">
      <c r="A32" s="116" t="s">
        <v>43</v>
      </c>
      <c r="B32" s="94"/>
      <c r="C32" s="117"/>
      <c r="D32" s="95"/>
      <c r="E32" s="114"/>
      <c r="F32" s="115"/>
    </row>
    <row r="33" spans="1:6" ht="15.75" x14ac:dyDescent="0.25">
      <c r="A33" s="95" t="s">
        <v>52</v>
      </c>
      <c r="B33" s="94"/>
      <c r="C33" s="117"/>
      <c r="D33" s="95"/>
      <c r="E33" s="114"/>
      <c r="F33" s="115"/>
    </row>
    <row r="34" spans="1:6" ht="15.75" x14ac:dyDescent="0.25">
      <c r="A34" s="95" t="s">
        <v>53</v>
      </c>
      <c r="B34" s="94"/>
      <c r="C34" s="117"/>
      <c r="D34" s="95"/>
      <c r="E34" s="114"/>
      <c r="F34" s="115"/>
    </row>
    <row r="35" spans="1:6" ht="16.5" thickBot="1" x14ac:dyDescent="0.3">
      <c r="A35" s="118"/>
      <c r="B35" s="119"/>
      <c r="C35" s="120"/>
      <c r="D35" s="118" t="s">
        <v>0</v>
      </c>
      <c r="E35" s="121"/>
      <c r="F35" s="122"/>
    </row>
    <row r="36" spans="1:6" ht="16.5" thickBot="1" x14ac:dyDescent="0.3">
      <c r="A36" s="123"/>
      <c r="B36" s="124"/>
      <c r="C36" s="124"/>
      <c r="D36" s="124"/>
      <c r="E36" s="124"/>
      <c r="F36" s="125"/>
    </row>
  </sheetData>
  <mergeCells count="6">
    <mergeCell ref="A14:C14"/>
    <mergeCell ref="A7:C7"/>
    <mergeCell ref="A8:C8"/>
    <mergeCell ref="A9:C9"/>
    <mergeCell ref="A12:C12"/>
    <mergeCell ref="A13:C13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A34" sqref="A34"/>
    </sheetView>
  </sheetViews>
  <sheetFormatPr defaultRowHeight="15" x14ac:dyDescent="0.25"/>
  <cols>
    <col min="1" max="1" width="6.5703125" customWidth="1"/>
    <col min="2" max="2" width="23.85546875" customWidth="1"/>
    <col min="3" max="3" width="12.7109375" customWidth="1"/>
    <col min="4" max="4" width="11.7109375" customWidth="1"/>
    <col min="5" max="5" width="11" customWidth="1"/>
    <col min="6" max="6" width="15.42578125" customWidth="1"/>
  </cols>
  <sheetData>
    <row r="1" spans="1:6" ht="21.75" thickBot="1" x14ac:dyDescent="0.4">
      <c r="A1" s="55"/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9.5" thickBot="1" x14ac:dyDescent="0.35">
      <c r="A6" s="242" t="s">
        <v>41</v>
      </c>
      <c r="B6" s="243"/>
      <c r="C6" s="244"/>
      <c r="D6" s="7" t="s">
        <v>20</v>
      </c>
      <c r="E6" s="7" t="s">
        <v>168</v>
      </c>
      <c r="F6" s="49"/>
    </row>
    <row r="7" spans="1:6" ht="18.75" x14ac:dyDescent="0.3">
      <c r="A7" s="263" t="s">
        <v>54</v>
      </c>
      <c r="B7" s="264"/>
      <c r="C7" s="265"/>
      <c r="D7" s="11"/>
      <c r="E7" s="11"/>
      <c r="F7" s="48"/>
    </row>
    <row r="8" spans="1:6" ht="18.75" x14ac:dyDescent="0.3">
      <c r="A8" s="263" t="s">
        <v>55</v>
      </c>
      <c r="B8" s="264"/>
      <c r="C8" s="265"/>
      <c r="D8" s="11" t="s">
        <v>17</v>
      </c>
      <c r="E8" s="11"/>
      <c r="F8" s="48" t="s">
        <v>167</v>
      </c>
    </row>
    <row r="9" spans="1:6" ht="19.5" thickBot="1" x14ac:dyDescent="0.35">
      <c r="A9" s="263" t="s">
        <v>56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3"/>
      <c r="F10" s="42"/>
    </row>
    <row r="11" spans="1:6" ht="15.75" thickBot="1" x14ac:dyDescent="0.3">
      <c r="A11" s="266" t="s">
        <v>57</v>
      </c>
      <c r="B11" s="267"/>
      <c r="C11" s="268"/>
      <c r="D11" s="38"/>
      <c r="E11" s="38"/>
      <c r="F11" s="37"/>
    </row>
    <row r="12" spans="1:6" ht="19.5" thickBot="1" x14ac:dyDescent="0.35">
      <c r="A12" s="254"/>
      <c r="B12" s="255"/>
      <c r="C12" s="256"/>
      <c r="D12" s="44" t="s">
        <v>38</v>
      </c>
      <c r="E12" s="40"/>
      <c r="F12" s="39"/>
    </row>
    <row r="13" spans="1:6" ht="15.75" thickBot="1" x14ac:dyDescent="0.3">
      <c r="A13" s="239"/>
      <c r="B13" s="240"/>
      <c r="C13" s="241"/>
      <c r="D13" s="38"/>
      <c r="E13" s="38"/>
      <c r="F13" s="37"/>
    </row>
    <row r="14" spans="1:6" ht="15.75" thickBot="1" x14ac:dyDescent="0.3">
      <c r="A14" s="35" t="s">
        <v>14</v>
      </c>
      <c r="B14" s="62" t="s">
        <v>13</v>
      </c>
      <c r="C14" s="35" t="s">
        <v>12</v>
      </c>
      <c r="D14" s="62" t="s">
        <v>11</v>
      </c>
      <c r="E14" s="35" t="s">
        <v>10</v>
      </c>
      <c r="F14" s="35" t="s">
        <v>9</v>
      </c>
    </row>
    <row r="15" spans="1:6" ht="19.5" thickBot="1" x14ac:dyDescent="0.35">
      <c r="A15" s="32"/>
      <c r="B15" s="69"/>
      <c r="C15" s="32"/>
      <c r="D15" s="72"/>
      <c r="E15" s="32"/>
      <c r="F15" s="32"/>
    </row>
    <row r="16" spans="1:6" ht="19.5" thickBot="1" x14ac:dyDescent="0.35">
      <c r="A16" s="68">
        <v>1</v>
      </c>
      <c r="B16" s="69" t="s">
        <v>36</v>
      </c>
      <c r="C16" s="68">
        <v>1421</v>
      </c>
      <c r="D16" s="162">
        <v>12</v>
      </c>
      <c r="E16" s="133">
        <v>40</v>
      </c>
      <c r="F16" s="134">
        <f>+D16*E16</f>
        <v>480</v>
      </c>
    </row>
    <row r="17" spans="1:6" ht="19.5" thickBot="1" x14ac:dyDescent="0.35">
      <c r="A17" s="41">
        <v>2</v>
      </c>
      <c r="B17" s="43" t="s">
        <v>169</v>
      </c>
      <c r="C17" s="43"/>
      <c r="D17" s="231">
        <v>12</v>
      </c>
      <c r="E17" s="133">
        <v>190</v>
      </c>
      <c r="F17" s="134">
        <f>+D17*E17</f>
        <v>2280</v>
      </c>
    </row>
    <row r="18" spans="1:6" ht="18.75" x14ac:dyDescent="0.3">
      <c r="A18" s="24"/>
      <c r="B18" s="11"/>
      <c r="C18" s="11"/>
      <c r="D18" s="48"/>
      <c r="E18" s="48"/>
      <c r="F18" s="24"/>
    </row>
    <row r="19" spans="1:6" ht="18.75" x14ac:dyDescent="0.3">
      <c r="A19" s="24"/>
      <c r="B19" s="11"/>
      <c r="C19" s="11"/>
      <c r="D19" s="48"/>
      <c r="E19" s="48"/>
      <c r="F19" s="24"/>
    </row>
    <row r="20" spans="1:6" ht="18.75" x14ac:dyDescent="0.3">
      <c r="A20" s="24"/>
      <c r="B20" s="11"/>
      <c r="C20" s="11"/>
      <c r="D20" s="48"/>
      <c r="E20" s="48"/>
      <c r="F20" s="24"/>
    </row>
    <row r="21" spans="1:6" ht="18.75" x14ac:dyDescent="0.3">
      <c r="A21" s="24"/>
      <c r="B21" s="11"/>
      <c r="C21" s="11"/>
      <c r="D21" s="48"/>
      <c r="E21" s="48"/>
      <c r="F21" s="24"/>
    </row>
    <row r="22" spans="1:6" ht="18.75" x14ac:dyDescent="0.3">
      <c r="A22" s="24"/>
      <c r="B22" s="11"/>
      <c r="C22" s="11"/>
      <c r="D22" s="48"/>
      <c r="E22" s="48"/>
      <c r="F22" s="24"/>
    </row>
    <row r="23" spans="1:6" ht="18.75" x14ac:dyDescent="0.3">
      <c r="A23" s="24"/>
      <c r="B23" s="11"/>
      <c r="C23" s="11"/>
      <c r="D23" s="48"/>
      <c r="E23" s="48" t="s">
        <v>30</v>
      </c>
      <c r="F23" s="24"/>
    </row>
    <row r="24" spans="1:6" ht="18.75" x14ac:dyDescent="0.3">
      <c r="A24" s="24"/>
      <c r="B24" s="11"/>
      <c r="C24" s="11"/>
      <c r="D24" s="48"/>
      <c r="E24" s="48"/>
      <c r="F24" s="24"/>
    </row>
    <row r="25" spans="1:6" ht="18.75" x14ac:dyDescent="0.3">
      <c r="A25" s="24"/>
      <c r="B25" s="11"/>
      <c r="C25" s="11"/>
      <c r="D25" s="48"/>
      <c r="E25" s="48"/>
      <c r="F25" s="24"/>
    </row>
    <row r="26" spans="1:6" ht="18.75" x14ac:dyDescent="0.3">
      <c r="A26" s="24"/>
      <c r="B26" s="11"/>
      <c r="C26" s="11"/>
      <c r="D26" s="48"/>
      <c r="E26" s="48"/>
      <c r="F26" s="24"/>
    </row>
    <row r="27" spans="1:6" ht="19.5" thickBot="1" x14ac:dyDescent="0.35">
      <c r="A27" s="136"/>
      <c r="B27" s="71"/>
      <c r="C27" s="71"/>
      <c r="D27" s="154"/>
      <c r="E27" s="37"/>
      <c r="F27" s="70">
        <f>SUM(F16:F26)</f>
        <v>2760</v>
      </c>
    </row>
    <row r="28" spans="1:6" ht="19.5" thickBot="1" x14ac:dyDescent="0.35">
      <c r="A28" s="168"/>
      <c r="B28" s="11" t="s">
        <v>33</v>
      </c>
      <c r="C28" s="24"/>
      <c r="D28" s="220" t="s">
        <v>133</v>
      </c>
      <c r="E28" s="68"/>
      <c r="F28" s="67">
        <f>F27*2.5/100</f>
        <v>69</v>
      </c>
    </row>
    <row r="29" spans="1:6" ht="19.5" thickBot="1" x14ac:dyDescent="0.35">
      <c r="A29" s="41"/>
      <c r="B29" s="43" t="s">
        <v>32</v>
      </c>
      <c r="C29" s="41"/>
      <c r="D29" s="221" t="s">
        <v>133</v>
      </c>
      <c r="E29" s="41"/>
      <c r="F29" s="65">
        <f>F27*2.5/100</f>
        <v>69</v>
      </c>
    </row>
    <row r="30" spans="1:6" ht="15.75" thickBot="1" x14ac:dyDescent="0.3">
      <c r="A30" s="21"/>
      <c r="B30" s="63"/>
      <c r="C30" s="21"/>
      <c r="D30" s="63"/>
      <c r="E30" s="21"/>
      <c r="F30" s="21"/>
    </row>
    <row r="31" spans="1:6" ht="19.5" thickBot="1" x14ac:dyDescent="0.35">
      <c r="A31" s="19" t="s">
        <v>6</v>
      </c>
      <c r="B31" s="18"/>
      <c r="C31" s="17"/>
      <c r="D31" s="17"/>
      <c r="E31" s="17"/>
      <c r="F31" s="33">
        <f>F27+F28+F29</f>
        <v>2898</v>
      </c>
    </row>
    <row r="32" spans="1:6" ht="19.5" thickBot="1" x14ac:dyDescent="0.35">
      <c r="A32" s="19"/>
      <c r="B32" s="18"/>
      <c r="C32" s="17"/>
      <c r="D32" s="17"/>
      <c r="E32" s="17"/>
      <c r="F32" s="16"/>
    </row>
    <row r="33" spans="1:7" ht="15.75" thickBot="1" x14ac:dyDescent="0.3">
      <c r="A33" s="73" t="s">
        <v>170</v>
      </c>
      <c r="B33" s="40"/>
      <c r="C33" s="40"/>
      <c r="D33" s="74"/>
      <c r="E33" s="74"/>
      <c r="F33" s="75"/>
      <c r="G33" s="76"/>
    </row>
    <row r="34" spans="1:7" ht="18.75" x14ac:dyDescent="0.3">
      <c r="A34" s="10"/>
      <c r="B34" s="11"/>
      <c r="C34" s="11"/>
      <c r="D34" s="10" t="s">
        <v>4</v>
      </c>
      <c r="E34" s="9"/>
      <c r="F34" s="8"/>
    </row>
    <row r="35" spans="1:7" ht="18.75" x14ac:dyDescent="0.3">
      <c r="A35" s="10" t="s">
        <v>3</v>
      </c>
      <c r="B35" s="11"/>
      <c r="C35" s="11"/>
      <c r="D35" s="10"/>
      <c r="E35" s="9"/>
      <c r="F35" s="8"/>
    </row>
    <row r="36" spans="1:7" ht="18.75" x14ac:dyDescent="0.3">
      <c r="A36" s="10" t="s">
        <v>2</v>
      </c>
      <c r="B36" s="11"/>
      <c r="C36" s="11"/>
      <c r="D36" s="10"/>
      <c r="E36" s="9"/>
      <c r="F36" s="8"/>
    </row>
    <row r="37" spans="1:7" ht="18.75" x14ac:dyDescent="0.3">
      <c r="A37" s="10" t="s">
        <v>1</v>
      </c>
      <c r="B37" s="11"/>
      <c r="C37" s="11"/>
      <c r="D37" s="10"/>
      <c r="E37" s="9"/>
      <c r="F37" s="8"/>
    </row>
    <row r="38" spans="1:7" ht="19.5" thickBot="1" x14ac:dyDescent="0.35">
      <c r="A38" s="6"/>
      <c r="B38" s="7"/>
      <c r="C38" s="7"/>
      <c r="D38" s="6" t="s">
        <v>0</v>
      </c>
      <c r="E38" s="5"/>
      <c r="F38" s="4"/>
    </row>
    <row r="39" spans="1:7" ht="15.75" thickBot="1" x14ac:dyDescent="0.3">
      <c r="A39" s="3"/>
      <c r="B39" s="2"/>
      <c r="C39" s="2"/>
      <c r="D39" s="2"/>
      <c r="E39" s="2"/>
      <c r="F39" s="1"/>
    </row>
  </sheetData>
  <mergeCells count="7">
    <mergeCell ref="A13:C13"/>
    <mergeCell ref="A6:C6"/>
    <mergeCell ref="A7:C7"/>
    <mergeCell ref="A8:C8"/>
    <mergeCell ref="A9:C9"/>
    <mergeCell ref="A11:C11"/>
    <mergeCell ref="A12:C12"/>
  </mergeCells>
  <hyperlinks>
    <hyperlink ref="B5" r:id="rId1" display="sdentp.sai@gmail.com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A18" workbookViewId="0">
      <selection activeCell="A32" sqref="A32"/>
    </sheetView>
  </sheetViews>
  <sheetFormatPr defaultRowHeight="15" x14ac:dyDescent="0.25"/>
  <cols>
    <col min="2" max="2" width="23.140625" customWidth="1"/>
    <col min="3" max="3" width="14.5703125" customWidth="1"/>
    <col min="4" max="4" width="13" customWidth="1"/>
    <col min="5" max="5" width="12" customWidth="1"/>
    <col min="6" max="6" width="14.5703125" customWidth="1"/>
  </cols>
  <sheetData>
    <row r="1" spans="1:6" ht="21.75" thickBot="1" x14ac:dyDescent="0.4">
      <c r="A1" s="55"/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9.5" thickBot="1" x14ac:dyDescent="0.35">
      <c r="A6" s="269" t="s">
        <v>58</v>
      </c>
      <c r="B6" s="270"/>
      <c r="C6" s="271"/>
      <c r="D6" s="7" t="s">
        <v>20</v>
      </c>
      <c r="E6" s="7" t="s">
        <v>206</v>
      </c>
      <c r="F6" s="49"/>
    </row>
    <row r="7" spans="1:6" ht="18.75" x14ac:dyDescent="0.3">
      <c r="A7" s="263" t="s">
        <v>69</v>
      </c>
      <c r="B7" s="264"/>
      <c r="C7" s="265"/>
      <c r="D7" s="11"/>
      <c r="E7" s="11" t="s">
        <v>30</v>
      </c>
      <c r="F7" s="48"/>
    </row>
    <row r="8" spans="1:6" ht="19.5" thickBot="1" x14ac:dyDescent="0.35">
      <c r="A8" s="263" t="s">
        <v>70</v>
      </c>
      <c r="B8" s="264"/>
      <c r="C8" s="265"/>
      <c r="D8" s="11" t="s">
        <v>17</v>
      </c>
      <c r="E8" s="11"/>
      <c r="F8" s="48" t="s">
        <v>220</v>
      </c>
    </row>
    <row r="9" spans="1:6" ht="19.5" thickBot="1" x14ac:dyDescent="0.35">
      <c r="A9" s="263" t="s">
        <v>71</v>
      </c>
      <c r="B9" s="264"/>
      <c r="C9" s="265"/>
      <c r="D9" s="41" t="s">
        <v>15</v>
      </c>
      <c r="E9" s="43"/>
      <c r="F9" s="42"/>
    </row>
    <row r="10" spans="1:6" ht="19.5" thickBot="1" x14ac:dyDescent="0.35">
      <c r="A10" s="147" t="s">
        <v>72</v>
      </c>
      <c r="D10" s="44" t="s">
        <v>38</v>
      </c>
      <c r="E10" s="40"/>
      <c r="F10" s="39"/>
    </row>
    <row r="11" spans="1:6" ht="15.75" thickBot="1" x14ac:dyDescent="0.3">
      <c r="A11" s="266" t="s">
        <v>75</v>
      </c>
      <c r="B11" s="267"/>
      <c r="C11" s="268"/>
      <c r="D11" s="38"/>
      <c r="E11" s="38"/>
      <c r="F11" s="37"/>
    </row>
    <row r="12" spans="1:6" ht="15.75" thickBot="1" x14ac:dyDescent="0.3">
      <c r="A12" s="35" t="s">
        <v>14</v>
      </c>
      <c r="B12" s="62" t="s">
        <v>13</v>
      </c>
      <c r="C12" s="35" t="s">
        <v>12</v>
      </c>
      <c r="D12" s="62" t="s">
        <v>11</v>
      </c>
      <c r="E12" s="35" t="s">
        <v>10</v>
      </c>
      <c r="F12" s="35" t="s">
        <v>9</v>
      </c>
    </row>
    <row r="13" spans="1:6" ht="19.5" thickBot="1" x14ac:dyDescent="0.35">
      <c r="A13" s="32"/>
      <c r="B13" s="69"/>
      <c r="C13" s="32"/>
      <c r="D13" s="72"/>
      <c r="E13" s="32"/>
      <c r="F13" s="32"/>
    </row>
    <row r="14" spans="1:6" ht="19.5" thickBot="1" x14ac:dyDescent="0.35">
      <c r="A14" s="68">
        <v>1</v>
      </c>
      <c r="B14" s="69" t="s">
        <v>36</v>
      </c>
      <c r="C14" s="224" t="s">
        <v>157</v>
      </c>
      <c r="D14" s="162">
        <v>28</v>
      </c>
      <c r="E14" s="133">
        <v>33</v>
      </c>
      <c r="F14" s="134">
        <f>+D14*E14</f>
        <v>924</v>
      </c>
    </row>
    <row r="15" spans="1:6" x14ac:dyDescent="0.25">
      <c r="A15" s="32"/>
      <c r="B15" s="72"/>
      <c r="C15" s="72"/>
      <c r="D15" s="100"/>
      <c r="E15" s="37"/>
      <c r="F15" s="23"/>
    </row>
    <row r="16" spans="1:6" x14ac:dyDescent="0.25">
      <c r="A16" s="23"/>
      <c r="B16" s="38"/>
      <c r="C16" s="38"/>
      <c r="D16" s="37"/>
      <c r="E16" s="37"/>
      <c r="F16" s="23"/>
    </row>
    <row r="17" spans="1:6" x14ac:dyDescent="0.25">
      <c r="A17" s="23"/>
      <c r="B17" s="38"/>
      <c r="C17" s="38"/>
      <c r="D17" s="37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/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 t="s">
        <v>30</v>
      </c>
      <c r="F21" s="23"/>
    </row>
    <row r="22" spans="1:6" x14ac:dyDescent="0.25">
      <c r="A22" s="23"/>
      <c r="B22" s="38"/>
      <c r="C22" s="38"/>
      <c r="D22" s="37"/>
      <c r="E22" s="37"/>
      <c r="F22" s="23"/>
    </row>
    <row r="23" spans="1:6" x14ac:dyDescent="0.25">
      <c r="A23" s="23"/>
      <c r="B23" s="38"/>
      <c r="C23" s="38"/>
      <c r="D23" s="37"/>
      <c r="E23" s="37"/>
      <c r="F23" s="23"/>
    </row>
    <row r="24" spans="1:6" ht="18.75" x14ac:dyDescent="0.3">
      <c r="A24" s="23"/>
      <c r="B24" s="11"/>
      <c r="C24" s="38"/>
      <c r="D24" s="37"/>
      <c r="E24" s="37"/>
      <c r="F24" s="23"/>
    </row>
    <row r="25" spans="1:6" ht="19.5" thickBot="1" x14ac:dyDescent="0.35">
      <c r="A25" s="136"/>
      <c r="B25" s="71"/>
      <c r="C25" s="71"/>
      <c r="D25" s="154"/>
      <c r="E25" s="37"/>
      <c r="F25" s="70">
        <f>SUM(F14:F24)</f>
        <v>924</v>
      </c>
    </row>
    <row r="26" spans="1:6" ht="19.5" thickBot="1" x14ac:dyDescent="0.35">
      <c r="A26" s="168"/>
      <c r="B26" s="11" t="s">
        <v>33</v>
      </c>
      <c r="C26" s="24"/>
      <c r="D26" s="220" t="s">
        <v>133</v>
      </c>
      <c r="E26" s="68"/>
      <c r="F26" s="67">
        <f>F25*2.5/100</f>
        <v>23.1</v>
      </c>
    </row>
    <row r="27" spans="1:6" ht="19.5" thickBot="1" x14ac:dyDescent="0.35">
      <c r="A27" s="41"/>
      <c r="B27" s="43" t="s">
        <v>32</v>
      </c>
      <c r="C27" s="41"/>
      <c r="D27" s="221" t="s">
        <v>133</v>
      </c>
      <c r="E27" s="41"/>
      <c r="F27" s="65">
        <f>F25*2.5/100</f>
        <v>23.1</v>
      </c>
    </row>
    <row r="28" spans="1:6" ht="15.75" thickBot="1" x14ac:dyDescent="0.3">
      <c r="A28" s="21"/>
      <c r="B28" s="63"/>
      <c r="C28" s="21"/>
      <c r="D28" s="63"/>
      <c r="E28" s="21"/>
      <c r="F28" s="21"/>
    </row>
    <row r="29" spans="1:6" ht="19.5" thickBot="1" x14ac:dyDescent="0.35">
      <c r="A29" s="19" t="s">
        <v>6</v>
      </c>
      <c r="B29" s="18"/>
      <c r="C29" s="17"/>
      <c r="D29" s="17"/>
      <c r="E29" s="17"/>
      <c r="F29" s="33">
        <f>F25+F26+F27</f>
        <v>970.2</v>
      </c>
    </row>
    <row r="30" spans="1:6" ht="19.5" thickBot="1" x14ac:dyDescent="0.35">
      <c r="A30" s="19"/>
      <c r="B30" s="18"/>
      <c r="C30" s="17"/>
      <c r="D30" s="17"/>
      <c r="E30" s="17"/>
      <c r="F30" s="16"/>
    </row>
    <row r="31" spans="1:6" ht="16.5" thickBot="1" x14ac:dyDescent="0.3">
      <c r="A31" s="60" t="s">
        <v>221</v>
      </c>
      <c r="B31" s="59"/>
      <c r="C31" s="59"/>
      <c r="D31" s="58"/>
      <c r="E31" s="58"/>
      <c r="F31" s="57"/>
    </row>
    <row r="32" spans="1:6" ht="18.75" x14ac:dyDescent="0.3">
      <c r="A32" s="10"/>
      <c r="B32" s="11"/>
      <c r="C32" s="11"/>
      <c r="D32" s="10" t="s">
        <v>4</v>
      </c>
      <c r="E32" s="9"/>
      <c r="F32" s="8"/>
    </row>
    <row r="33" spans="1:6" ht="18.75" x14ac:dyDescent="0.3">
      <c r="A33" s="10" t="s">
        <v>3</v>
      </c>
      <c r="B33" s="11"/>
      <c r="C33" s="11"/>
      <c r="D33" s="10"/>
      <c r="E33" s="9"/>
      <c r="F33" s="8"/>
    </row>
    <row r="34" spans="1:6" ht="18.75" x14ac:dyDescent="0.3">
      <c r="A34" s="10" t="s">
        <v>2</v>
      </c>
      <c r="B34" s="11"/>
      <c r="C34" s="11"/>
      <c r="D34" s="10"/>
      <c r="E34" s="9"/>
      <c r="F34" s="8"/>
    </row>
    <row r="35" spans="1:6" ht="18.75" x14ac:dyDescent="0.3">
      <c r="A35" s="10" t="s">
        <v>1</v>
      </c>
      <c r="B35" s="11"/>
      <c r="C35" s="11"/>
      <c r="D35" s="10"/>
      <c r="E35" s="9"/>
      <c r="F35" s="8"/>
    </row>
    <row r="36" spans="1:6" ht="19.5" thickBot="1" x14ac:dyDescent="0.35">
      <c r="A36" s="6"/>
      <c r="B36" s="7"/>
      <c r="C36" s="7"/>
      <c r="D36" s="6" t="s">
        <v>0</v>
      </c>
      <c r="E36" s="5"/>
      <c r="F36" s="4"/>
    </row>
    <row r="37" spans="1:6" ht="15.75" thickBot="1" x14ac:dyDescent="0.3">
      <c r="A37" s="3"/>
      <c r="B37" s="2"/>
      <c r="C37" s="2"/>
      <c r="D37" s="2"/>
      <c r="E37" s="2"/>
      <c r="F37" s="1"/>
    </row>
  </sheetData>
  <mergeCells count="5">
    <mergeCell ref="A6:C6"/>
    <mergeCell ref="A7:C7"/>
    <mergeCell ref="A8:C8"/>
    <mergeCell ref="A9:C9"/>
    <mergeCell ref="A11:C11"/>
  </mergeCells>
  <hyperlinks>
    <hyperlink ref="B5" r:id="rId1" display="sdentp.sai@gmail.com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13" workbookViewId="0">
      <selection activeCell="K29" sqref="K29"/>
    </sheetView>
  </sheetViews>
  <sheetFormatPr defaultRowHeight="15" x14ac:dyDescent="0.25"/>
  <cols>
    <col min="1" max="1" width="5.28515625" customWidth="1"/>
    <col min="2" max="2" width="23" customWidth="1"/>
    <col min="3" max="3" width="13.28515625" customWidth="1"/>
    <col min="4" max="4" width="11.7109375" customWidth="1"/>
    <col min="5" max="5" width="10.42578125" customWidth="1"/>
    <col min="6" max="6" width="19.7109375" customWidth="1"/>
  </cols>
  <sheetData>
    <row r="1" spans="1:6" ht="21.75" thickBot="1" x14ac:dyDescent="0.4">
      <c r="A1" s="55" t="s">
        <v>30</v>
      </c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9.5" thickBot="1" x14ac:dyDescent="0.35">
      <c r="A6" s="242" t="s">
        <v>41</v>
      </c>
      <c r="B6" s="243"/>
      <c r="C6" s="244"/>
      <c r="D6" s="7" t="s">
        <v>20</v>
      </c>
      <c r="E6" s="7" t="s">
        <v>204</v>
      </c>
      <c r="F6" s="49"/>
    </row>
    <row r="7" spans="1:6" ht="18.75" x14ac:dyDescent="0.3">
      <c r="A7" s="263" t="s">
        <v>100</v>
      </c>
      <c r="B7" s="264"/>
      <c r="C7" s="265"/>
      <c r="D7" s="11"/>
      <c r="E7" s="11"/>
      <c r="F7" s="48"/>
    </row>
    <row r="8" spans="1:6" ht="18.75" x14ac:dyDescent="0.3">
      <c r="A8" s="263" t="s">
        <v>73</v>
      </c>
      <c r="B8" s="264"/>
      <c r="C8" s="265"/>
      <c r="D8" s="11" t="s">
        <v>17</v>
      </c>
      <c r="E8" s="11"/>
      <c r="F8" s="48" t="s">
        <v>203</v>
      </c>
    </row>
    <row r="9" spans="1:6" ht="19.5" thickBot="1" x14ac:dyDescent="0.35">
      <c r="A9" s="263" t="s">
        <v>74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4" t="s">
        <v>38</v>
      </c>
      <c r="E10" s="43"/>
      <c r="F10" s="42"/>
    </row>
    <row r="11" spans="1:6" ht="15.75" thickBot="1" x14ac:dyDescent="0.3">
      <c r="A11" s="266" t="s">
        <v>101</v>
      </c>
      <c r="B11" s="267"/>
      <c r="C11" s="268"/>
      <c r="D11" s="38"/>
      <c r="E11" s="38"/>
      <c r="F11" s="37"/>
    </row>
    <row r="12" spans="1:6" ht="19.5" thickBot="1" x14ac:dyDescent="0.35">
      <c r="A12" s="254"/>
      <c r="B12" s="255"/>
      <c r="C12" s="256"/>
      <c r="D12" s="41" t="s">
        <v>15</v>
      </c>
      <c r="E12" s="40"/>
      <c r="F12" s="39"/>
    </row>
    <row r="13" spans="1:6" ht="15.75" thickBot="1" x14ac:dyDescent="0.3">
      <c r="A13" s="239"/>
      <c r="B13" s="240"/>
      <c r="C13" s="241"/>
      <c r="D13" s="38"/>
      <c r="E13" s="38"/>
      <c r="F13" s="37"/>
    </row>
    <row r="14" spans="1:6" ht="15.75" thickBot="1" x14ac:dyDescent="0.3">
      <c r="A14" s="86" t="s">
        <v>14</v>
      </c>
      <c r="B14" s="87" t="s">
        <v>13</v>
      </c>
      <c r="C14" s="86" t="s">
        <v>12</v>
      </c>
      <c r="D14" s="87" t="s">
        <v>11</v>
      </c>
      <c r="E14" s="86" t="s">
        <v>10</v>
      </c>
      <c r="F14" s="86" t="s">
        <v>9</v>
      </c>
    </row>
    <row r="15" spans="1:6" ht="19.5" thickBot="1" x14ac:dyDescent="0.35">
      <c r="A15" s="175"/>
      <c r="B15" s="174"/>
      <c r="C15" s="148"/>
      <c r="D15" s="148"/>
      <c r="E15" s="148"/>
      <c r="F15" s="149"/>
    </row>
    <row r="16" spans="1:6" ht="19.5" thickBot="1" x14ac:dyDescent="0.35">
      <c r="A16" s="29">
        <v>1</v>
      </c>
      <c r="B16" s="28" t="s">
        <v>36</v>
      </c>
      <c r="C16" s="28" t="s">
        <v>156</v>
      </c>
      <c r="D16" s="231">
        <v>126</v>
      </c>
      <c r="E16" s="173">
        <v>40</v>
      </c>
      <c r="F16" s="133">
        <f>+D16*E16</f>
        <v>5040</v>
      </c>
    </row>
    <row r="17" spans="1:6" x14ac:dyDescent="0.25">
      <c r="A17" s="23"/>
      <c r="B17" s="23"/>
      <c r="C17" s="23"/>
      <c r="D17" s="23"/>
      <c r="E17" s="31"/>
      <c r="F17" s="23"/>
    </row>
    <row r="18" spans="1:6" x14ac:dyDescent="0.25">
      <c r="A18" s="23"/>
      <c r="B18" s="23"/>
      <c r="C18" s="23"/>
      <c r="D18" s="23"/>
      <c r="E18" s="31"/>
      <c r="F18" s="23"/>
    </row>
    <row r="19" spans="1:6" x14ac:dyDescent="0.25">
      <c r="A19" s="23"/>
      <c r="B19" s="23"/>
      <c r="C19" s="23"/>
      <c r="D19" s="23"/>
      <c r="E19" s="31"/>
      <c r="F19" s="23"/>
    </row>
    <row r="20" spans="1:6" x14ac:dyDescent="0.25">
      <c r="A20" s="23"/>
      <c r="B20" s="23"/>
      <c r="C20" s="23"/>
      <c r="D20" s="23"/>
      <c r="E20" s="31"/>
      <c r="F20" s="23"/>
    </row>
    <row r="21" spans="1:6" x14ac:dyDescent="0.25">
      <c r="A21" s="23"/>
      <c r="B21" s="23"/>
      <c r="C21" s="23"/>
      <c r="D21" s="23"/>
      <c r="E21" s="31"/>
      <c r="F21" s="23"/>
    </row>
    <row r="22" spans="1:6" x14ac:dyDescent="0.25">
      <c r="A22" s="23"/>
      <c r="B22" s="23"/>
      <c r="C22" s="23"/>
      <c r="D22" s="23"/>
      <c r="E22" s="31"/>
      <c r="F22" s="23"/>
    </row>
    <row r="23" spans="1:6" x14ac:dyDescent="0.25">
      <c r="A23" s="23"/>
      <c r="B23" s="23"/>
      <c r="C23" s="23"/>
      <c r="D23" s="23"/>
      <c r="E23" s="31"/>
      <c r="F23" s="23"/>
    </row>
    <row r="24" spans="1:6" ht="15.75" thickBot="1" x14ac:dyDescent="0.3">
      <c r="A24" s="23"/>
      <c r="B24" s="23"/>
      <c r="C24" s="23"/>
      <c r="D24" s="23"/>
      <c r="E24" s="31"/>
      <c r="F24" s="23"/>
    </row>
    <row r="25" spans="1:6" ht="19.5" thickBot="1" x14ac:dyDescent="0.35">
      <c r="A25" s="41"/>
      <c r="B25" s="41" t="s">
        <v>7</v>
      </c>
      <c r="C25" s="41"/>
      <c r="D25" s="41"/>
      <c r="E25" s="64">
        <v>0.05</v>
      </c>
      <c r="F25" s="33">
        <v>252</v>
      </c>
    </row>
    <row r="26" spans="1:6" x14ac:dyDescent="0.25">
      <c r="A26" s="23"/>
      <c r="B26" s="23"/>
      <c r="C26" s="23"/>
      <c r="D26" s="23"/>
      <c r="E26" s="23"/>
      <c r="F26" s="23"/>
    </row>
    <row r="27" spans="1:6" x14ac:dyDescent="0.25">
      <c r="A27" s="22"/>
      <c r="B27" s="22"/>
      <c r="C27" s="22"/>
      <c r="D27" s="22"/>
      <c r="E27" s="22"/>
      <c r="F27" s="22"/>
    </row>
    <row r="28" spans="1:6" ht="15.75" thickBot="1" x14ac:dyDescent="0.3">
      <c r="A28" s="22"/>
      <c r="B28" s="22"/>
      <c r="C28" s="22"/>
      <c r="D28" s="22"/>
      <c r="E28" s="22"/>
      <c r="F28" s="22"/>
    </row>
    <row r="29" spans="1:6" ht="19.5" thickBot="1" x14ac:dyDescent="0.35">
      <c r="A29" s="196" t="s">
        <v>6</v>
      </c>
      <c r="B29" s="197"/>
      <c r="C29" s="198"/>
      <c r="D29" s="198"/>
      <c r="E29" s="198"/>
      <c r="F29" s="199">
        <f>SUM(F16:F28)</f>
        <v>5292</v>
      </c>
    </row>
    <row r="30" spans="1:6" ht="15.75" thickBot="1" x14ac:dyDescent="0.3">
      <c r="A30" s="169"/>
      <c r="B30" s="74"/>
      <c r="C30" s="74"/>
      <c r="D30" s="74"/>
      <c r="E30" s="74"/>
      <c r="F30" s="75"/>
    </row>
    <row r="31" spans="1:6" ht="16.5" thickBot="1" x14ac:dyDescent="0.3">
      <c r="A31" s="118" t="s">
        <v>205</v>
      </c>
      <c r="B31" s="119"/>
      <c r="C31" s="119"/>
      <c r="D31" s="121"/>
      <c r="E31" s="121"/>
      <c r="F31" s="122"/>
    </row>
    <row r="32" spans="1:6" ht="18.75" x14ac:dyDescent="0.3">
      <c r="A32" s="203"/>
      <c r="B32" s="204"/>
      <c r="C32" s="205"/>
      <c r="D32" s="10" t="s">
        <v>4</v>
      </c>
      <c r="E32" s="9"/>
      <c r="F32" s="8"/>
    </row>
    <row r="33" spans="1:6" ht="18.75" x14ac:dyDescent="0.3">
      <c r="A33" s="206" t="s">
        <v>118</v>
      </c>
      <c r="B33" s="207"/>
      <c r="C33" s="208"/>
      <c r="D33" s="10"/>
      <c r="E33" s="9"/>
      <c r="F33" s="8"/>
    </row>
    <row r="34" spans="1:6" ht="18.75" x14ac:dyDescent="0.3">
      <c r="A34" s="209" t="s">
        <v>117</v>
      </c>
      <c r="B34" s="207"/>
      <c r="C34" s="208"/>
      <c r="D34" s="10"/>
      <c r="E34" s="9"/>
      <c r="F34" s="8"/>
    </row>
    <row r="35" spans="1:6" ht="18.75" x14ac:dyDescent="0.3">
      <c r="A35" s="206" t="s">
        <v>119</v>
      </c>
      <c r="B35" s="207"/>
      <c r="C35" s="208"/>
      <c r="D35" s="10"/>
      <c r="E35" s="9"/>
      <c r="F35" s="8"/>
    </row>
    <row r="36" spans="1:6" ht="19.5" thickBot="1" x14ac:dyDescent="0.35">
      <c r="A36" s="210"/>
      <c r="B36" s="211"/>
      <c r="C36" s="212"/>
      <c r="D36" s="6" t="s">
        <v>0</v>
      </c>
      <c r="E36" s="5"/>
      <c r="F36" s="4"/>
    </row>
    <row r="37" spans="1:6" ht="15.75" thickBot="1" x14ac:dyDescent="0.3">
      <c r="A37" s="3"/>
      <c r="B37" s="2"/>
      <c r="C37" s="2"/>
      <c r="D37" s="2"/>
      <c r="E37" s="2"/>
      <c r="F37" s="1"/>
    </row>
  </sheetData>
  <mergeCells count="7">
    <mergeCell ref="A13:C13"/>
    <mergeCell ref="A6:C6"/>
    <mergeCell ref="A7:C7"/>
    <mergeCell ref="A8:C8"/>
    <mergeCell ref="A9:C9"/>
    <mergeCell ref="A11:C11"/>
    <mergeCell ref="A12:C12"/>
  </mergeCells>
  <hyperlinks>
    <hyperlink ref="B5" r:id="rId1" display="sdentp.sai@gmail.com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5" workbookViewId="0">
      <selection activeCell="B25" sqref="B25"/>
    </sheetView>
  </sheetViews>
  <sheetFormatPr defaultRowHeight="15" x14ac:dyDescent="0.25"/>
  <cols>
    <col min="1" max="1" width="8" customWidth="1"/>
    <col min="2" max="2" width="25" customWidth="1"/>
    <col min="3" max="3" width="13" customWidth="1"/>
    <col min="4" max="4" width="12.140625" customWidth="1"/>
    <col min="5" max="5" width="11.42578125" customWidth="1"/>
    <col min="6" max="6" width="16.7109375" customWidth="1"/>
  </cols>
  <sheetData>
    <row r="1" spans="1:6" ht="21.75" thickBot="1" x14ac:dyDescent="0.4">
      <c r="A1" s="55"/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9.5" thickBot="1" x14ac:dyDescent="0.35">
      <c r="A6" s="242" t="s">
        <v>41</v>
      </c>
      <c r="B6" s="243"/>
      <c r="C6" s="244"/>
      <c r="D6" s="7" t="s">
        <v>20</v>
      </c>
      <c r="E6" s="7" t="s">
        <v>160</v>
      </c>
      <c r="F6" s="49"/>
    </row>
    <row r="7" spans="1:6" ht="18.75" x14ac:dyDescent="0.3">
      <c r="A7" s="263" t="s">
        <v>63</v>
      </c>
      <c r="B7" s="264"/>
      <c r="C7" s="265"/>
      <c r="D7" s="11"/>
      <c r="E7" s="11"/>
      <c r="F7" s="48"/>
    </row>
    <row r="8" spans="1:6" ht="18.75" x14ac:dyDescent="0.3">
      <c r="A8" s="263" t="s">
        <v>64</v>
      </c>
      <c r="B8" s="264"/>
      <c r="C8" s="265"/>
      <c r="D8" s="11" t="s">
        <v>17</v>
      </c>
      <c r="E8" s="11"/>
      <c r="F8" s="48" t="s">
        <v>174</v>
      </c>
    </row>
    <row r="9" spans="1:6" ht="19.5" thickBot="1" x14ac:dyDescent="0.35">
      <c r="A9" s="263" t="s">
        <v>56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3"/>
      <c r="F10" s="42"/>
    </row>
    <row r="11" spans="1:6" ht="15.75" thickBot="1" x14ac:dyDescent="0.3">
      <c r="A11" s="266" t="s">
        <v>65</v>
      </c>
      <c r="B11" s="267"/>
      <c r="C11" s="268"/>
      <c r="D11" s="38"/>
      <c r="E11" s="38"/>
      <c r="F11" s="37"/>
    </row>
    <row r="12" spans="1:6" ht="19.5" thickBot="1" x14ac:dyDescent="0.35">
      <c r="A12" s="254"/>
      <c r="B12" s="255"/>
      <c r="C12" s="256"/>
      <c r="D12" s="44" t="s">
        <v>38</v>
      </c>
      <c r="E12" s="40"/>
      <c r="F12" s="39"/>
    </row>
    <row r="13" spans="1:6" ht="15.75" thickBot="1" x14ac:dyDescent="0.3">
      <c r="A13" s="239"/>
      <c r="B13" s="240"/>
      <c r="C13" s="241"/>
      <c r="D13" s="38"/>
      <c r="E13" s="38"/>
      <c r="F13" s="37"/>
    </row>
    <row r="14" spans="1:6" ht="15.75" thickBot="1" x14ac:dyDescent="0.3">
      <c r="A14" s="35" t="s">
        <v>14</v>
      </c>
      <c r="B14" s="62" t="s">
        <v>13</v>
      </c>
      <c r="C14" s="35" t="s">
        <v>12</v>
      </c>
      <c r="D14" s="62" t="s">
        <v>11</v>
      </c>
      <c r="E14" s="35" t="s">
        <v>10</v>
      </c>
      <c r="F14" s="35" t="s">
        <v>9</v>
      </c>
    </row>
    <row r="15" spans="1:6" ht="19.5" thickBot="1" x14ac:dyDescent="0.35">
      <c r="A15" s="32"/>
      <c r="B15" s="69"/>
      <c r="C15" s="32"/>
      <c r="D15" s="72"/>
      <c r="E15" s="32"/>
      <c r="F15" s="32"/>
    </row>
    <row r="16" spans="1:6" ht="19.5" thickBot="1" x14ac:dyDescent="0.35">
      <c r="A16" s="68">
        <v>1</v>
      </c>
      <c r="B16" s="69" t="s">
        <v>36</v>
      </c>
      <c r="C16" s="68" t="s">
        <v>91</v>
      </c>
      <c r="D16" s="162">
        <v>58</v>
      </c>
      <c r="E16" s="133">
        <v>40</v>
      </c>
      <c r="F16" s="134">
        <f>+D16*E16</f>
        <v>2320</v>
      </c>
    </row>
    <row r="17" spans="1:6" x14ac:dyDescent="0.25">
      <c r="A17" s="32"/>
      <c r="B17" s="72"/>
      <c r="C17" s="72"/>
      <c r="D17" s="100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/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x14ac:dyDescent="0.25">
      <c r="A22" s="23"/>
      <c r="B22" s="38"/>
      <c r="C22" s="38"/>
      <c r="D22" s="37"/>
      <c r="E22" s="37" t="s">
        <v>30</v>
      </c>
      <c r="F22" s="23"/>
    </row>
    <row r="23" spans="1:6" x14ac:dyDescent="0.25">
      <c r="A23" s="23"/>
      <c r="B23" s="38"/>
      <c r="C23" s="38"/>
      <c r="D23" s="37"/>
      <c r="E23" s="37"/>
      <c r="F23" s="23"/>
    </row>
    <row r="24" spans="1:6" x14ac:dyDescent="0.25">
      <c r="A24" s="23"/>
      <c r="B24" s="38"/>
      <c r="C24" s="38"/>
      <c r="D24" s="37"/>
      <c r="E24" s="37"/>
      <c r="F24" s="23"/>
    </row>
    <row r="25" spans="1:6" ht="18.75" x14ac:dyDescent="0.3">
      <c r="A25" s="23"/>
      <c r="B25" s="11"/>
      <c r="C25" s="38"/>
      <c r="D25" s="37"/>
      <c r="E25" s="37"/>
      <c r="F25" s="23"/>
    </row>
    <row r="26" spans="1:6" ht="19.5" thickBot="1" x14ac:dyDescent="0.35">
      <c r="A26" s="136"/>
      <c r="B26" s="71"/>
      <c r="C26" s="71"/>
      <c r="D26" s="154"/>
      <c r="E26" s="37"/>
      <c r="F26" s="70">
        <f>SUM(F15:F25)</f>
        <v>2320</v>
      </c>
    </row>
    <row r="27" spans="1:6" ht="19.5" thickBot="1" x14ac:dyDescent="0.35">
      <c r="A27" s="168"/>
      <c r="B27" s="11" t="s">
        <v>33</v>
      </c>
      <c r="C27" s="24"/>
      <c r="D27" s="220" t="s">
        <v>133</v>
      </c>
      <c r="E27" s="68"/>
      <c r="F27" s="67">
        <f>F26*2.5/100</f>
        <v>58</v>
      </c>
    </row>
    <row r="28" spans="1:6" ht="19.5" thickBot="1" x14ac:dyDescent="0.35">
      <c r="A28" s="41"/>
      <c r="B28" s="43" t="s">
        <v>32</v>
      </c>
      <c r="C28" s="41"/>
      <c r="D28" s="221" t="s">
        <v>133</v>
      </c>
      <c r="E28" s="41"/>
      <c r="F28" s="65">
        <f>F26*2.5/100</f>
        <v>58</v>
      </c>
    </row>
    <row r="29" spans="1:6" ht="15.75" thickBot="1" x14ac:dyDescent="0.3">
      <c r="A29" s="21"/>
      <c r="B29" s="63"/>
      <c r="C29" s="21"/>
      <c r="D29" s="63"/>
      <c r="E29" s="21"/>
      <c r="F29" s="21"/>
    </row>
    <row r="30" spans="1:6" ht="19.5" thickBot="1" x14ac:dyDescent="0.35">
      <c r="A30" s="19" t="s">
        <v>6</v>
      </c>
      <c r="B30" s="18"/>
      <c r="C30" s="17"/>
      <c r="D30" s="17"/>
      <c r="E30" s="17"/>
      <c r="F30" s="33">
        <f>F26+F27+F28</f>
        <v>2436</v>
      </c>
    </row>
    <row r="31" spans="1:6" ht="19.5" thickBot="1" x14ac:dyDescent="0.35">
      <c r="A31" s="19"/>
      <c r="B31" s="18"/>
      <c r="C31" s="17"/>
      <c r="D31" s="17"/>
      <c r="E31" s="17"/>
      <c r="F31" s="16"/>
    </row>
    <row r="32" spans="1:6" ht="16.5" thickBot="1" x14ac:dyDescent="0.3">
      <c r="A32" s="60" t="s">
        <v>175</v>
      </c>
      <c r="B32" s="59"/>
      <c r="C32" s="59"/>
      <c r="D32" s="58"/>
      <c r="E32" s="58"/>
      <c r="F32" s="57"/>
    </row>
    <row r="33" spans="1:6" ht="18.75" x14ac:dyDescent="0.3">
      <c r="A33" s="10" t="s">
        <v>5</v>
      </c>
      <c r="B33" s="11"/>
      <c r="C33" s="11"/>
      <c r="D33" s="10" t="s">
        <v>4</v>
      </c>
      <c r="E33" s="9"/>
      <c r="F33" s="8"/>
    </row>
    <row r="34" spans="1:6" ht="18.75" x14ac:dyDescent="0.3">
      <c r="A34" s="10" t="s">
        <v>3</v>
      </c>
      <c r="B34" s="11"/>
      <c r="C34" s="11"/>
      <c r="D34" s="10"/>
      <c r="E34" s="9"/>
      <c r="F34" s="8"/>
    </row>
    <row r="35" spans="1:6" ht="18.75" x14ac:dyDescent="0.3">
      <c r="A35" s="10" t="s">
        <v>2</v>
      </c>
      <c r="B35" s="11"/>
      <c r="C35" s="11"/>
      <c r="D35" s="10"/>
      <c r="E35" s="9"/>
      <c r="F35" s="8"/>
    </row>
    <row r="36" spans="1:6" ht="18.75" x14ac:dyDescent="0.3">
      <c r="A36" s="10" t="s">
        <v>1</v>
      </c>
      <c r="B36" s="11"/>
      <c r="C36" s="11"/>
      <c r="D36" s="10"/>
      <c r="E36" s="9"/>
      <c r="F36" s="8"/>
    </row>
    <row r="37" spans="1:6" ht="19.5" thickBot="1" x14ac:dyDescent="0.35">
      <c r="A37" s="6"/>
      <c r="B37" s="7"/>
      <c r="C37" s="7"/>
      <c r="D37" s="6" t="s">
        <v>0</v>
      </c>
      <c r="E37" s="5"/>
      <c r="F37" s="4"/>
    </row>
    <row r="38" spans="1:6" ht="15.75" thickBot="1" x14ac:dyDescent="0.3">
      <c r="A38" s="3"/>
      <c r="B38" s="2"/>
      <c r="C38" s="2"/>
      <c r="D38" s="2"/>
      <c r="E38" s="2"/>
      <c r="F38" s="1"/>
    </row>
  </sheetData>
  <mergeCells count="7">
    <mergeCell ref="A13:C13"/>
    <mergeCell ref="A6:C6"/>
    <mergeCell ref="A7:C7"/>
    <mergeCell ref="A8:C8"/>
    <mergeCell ref="A9:C9"/>
    <mergeCell ref="A11:C11"/>
    <mergeCell ref="A12:C12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A30" sqref="A30"/>
    </sheetView>
  </sheetViews>
  <sheetFormatPr defaultRowHeight="15" x14ac:dyDescent="0.25"/>
  <cols>
    <col min="1" max="1" width="9.5703125" customWidth="1"/>
    <col min="2" max="2" width="25" customWidth="1"/>
    <col min="3" max="3" width="14.28515625" customWidth="1"/>
    <col min="4" max="4" width="11.5703125" customWidth="1"/>
    <col min="5" max="5" width="13.5703125" customWidth="1"/>
    <col min="6" max="6" width="16.42578125" customWidth="1"/>
  </cols>
  <sheetData>
    <row r="1" spans="1:6" ht="21.75" thickBot="1" x14ac:dyDescent="0.4">
      <c r="A1" s="169"/>
      <c r="B1" s="81" t="s">
        <v>25</v>
      </c>
      <c r="C1" s="81"/>
      <c r="D1" s="170"/>
      <c r="E1" s="74"/>
      <c r="F1" s="75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8.75" x14ac:dyDescent="0.3">
      <c r="A6" s="269" t="s">
        <v>58</v>
      </c>
      <c r="B6" s="270"/>
      <c r="C6" s="272"/>
      <c r="D6" s="11" t="s">
        <v>79</v>
      </c>
      <c r="E6" s="11" t="s">
        <v>180</v>
      </c>
      <c r="F6" s="48"/>
    </row>
    <row r="7" spans="1:6" ht="19.5" thickBot="1" x14ac:dyDescent="0.35">
      <c r="A7" s="245" t="s">
        <v>83</v>
      </c>
      <c r="B7" s="246"/>
      <c r="C7" s="247"/>
      <c r="D7" s="11"/>
      <c r="E7" s="11"/>
      <c r="F7" s="48"/>
    </row>
    <row r="8" spans="1:6" ht="19.5" thickBot="1" x14ac:dyDescent="0.35">
      <c r="A8" s="263" t="s">
        <v>88</v>
      </c>
      <c r="B8" s="264"/>
      <c r="C8" s="265"/>
      <c r="D8" s="44" t="s">
        <v>17</v>
      </c>
      <c r="E8" s="43"/>
      <c r="F8" s="42" t="s">
        <v>189</v>
      </c>
    </row>
    <row r="9" spans="1:6" ht="19.5" thickBot="1" x14ac:dyDescent="0.35">
      <c r="A9" s="263" t="s">
        <v>81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0"/>
      <c r="F10" s="39"/>
    </row>
    <row r="11" spans="1:6" ht="19.5" thickBot="1" x14ac:dyDescent="0.35">
      <c r="A11" s="273" t="s">
        <v>80</v>
      </c>
      <c r="B11" s="274"/>
      <c r="C11" s="275"/>
      <c r="D11" s="19" t="s">
        <v>38</v>
      </c>
      <c r="E11" s="38"/>
      <c r="F11" s="37"/>
    </row>
    <row r="12" spans="1:6" x14ac:dyDescent="0.25">
      <c r="A12" s="176" t="s">
        <v>14</v>
      </c>
      <c r="B12" s="177" t="s">
        <v>13</v>
      </c>
      <c r="C12" s="177" t="s">
        <v>12</v>
      </c>
      <c r="D12" s="177" t="s">
        <v>11</v>
      </c>
      <c r="E12" s="177" t="s">
        <v>10</v>
      </c>
      <c r="F12" s="178" t="s">
        <v>9</v>
      </c>
    </row>
    <row r="13" spans="1:6" ht="15.75" thickBot="1" x14ac:dyDescent="0.3">
      <c r="A13" s="3"/>
      <c r="B13" s="2"/>
      <c r="C13" s="2"/>
      <c r="D13" s="2"/>
      <c r="E13" s="2"/>
      <c r="F13" s="1"/>
    </row>
    <row r="14" spans="1:6" ht="19.5" thickBot="1" x14ac:dyDescent="0.35">
      <c r="A14" s="44">
        <v>1</v>
      </c>
      <c r="B14" s="41" t="s">
        <v>36</v>
      </c>
      <c r="C14" s="171"/>
      <c r="D14" s="172">
        <v>159</v>
      </c>
      <c r="E14" s="173">
        <v>30</v>
      </c>
      <c r="F14" s="133">
        <f>+D14*E14</f>
        <v>4770</v>
      </c>
    </row>
    <row r="15" spans="1:6" x14ac:dyDescent="0.25">
      <c r="A15" s="23"/>
      <c r="B15" s="38"/>
      <c r="C15" s="38"/>
      <c r="D15" s="37"/>
      <c r="E15" s="37"/>
      <c r="F15" s="23"/>
    </row>
    <row r="16" spans="1:6" x14ac:dyDescent="0.25">
      <c r="A16" s="23"/>
      <c r="B16" s="38"/>
      <c r="C16" s="38"/>
      <c r="D16" s="37"/>
      <c r="E16" s="37"/>
      <c r="F16" s="23"/>
    </row>
    <row r="17" spans="1:6" x14ac:dyDescent="0.25">
      <c r="A17" s="23"/>
      <c r="B17" s="38"/>
      <c r="C17" s="38"/>
      <c r="D17" s="37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 t="s">
        <v>30</v>
      </c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ht="18.75" x14ac:dyDescent="0.3">
      <c r="A22" s="23"/>
      <c r="B22" s="11"/>
      <c r="C22" s="38"/>
      <c r="D22" s="37"/>
      <c r="E22" s="37"/>
      <c r="F22" s="23"/>
    </row>
    <row r="23" spans="1:6" ht="19.5" thickBot="1" x14ac:dyDescent="0.35">
      <c r="A23" s="136"/>
      <c r="B23" s="71"/>
      <c r="C23" s="71"/>
      <c r="D23" s="154"/>
      <c r="E23" s="37"/>
      <c r="F23" s="70">
        <f>SUM(F12:F22)</f>
        <v>4770</v>
      </c>
    </row>
    <row r="24" spans="1:6" ht="19.5" thickBot="1" x14ac:dyDescent="0.35">
      <c r="A24" s="168"/>
      <c r="B24" s="11" t="s">
        <v>33</v>
      </c>
      <c r="C24" s="24"/>
      <c r="D24" s="220" t="s">
        <v>133</v>
      </c>
      <c r="E24" s="68"/>
      <c r="F24" s="67">
        <f>F23*2.5/100</f>
        <v>119.25</v>
      </c>
    </row>
    <row r="25" spans="1:6" ht="19.5" thickBot="1" x14ac:dyDescent="0.35">
      <c r="A25" s="41"/>
      <c r="B25" s="43" t="s">
        <v>32</v>
      </c>
      <c r="C25" s="41"/>
      <c r="D25" s="221" t="s">
        <v>133</v>
      </c>
      <c r="E25" s="41"/>
      <c r="F25" s="65">
        <f>F23*2.5/100</f>
        <v>119.25</v>
      </c>
    </row>
    <row r="26" spans="1:6" ht="15.75" thickBot="1" x14ac:dyDescent="0.3">
      <c r="A26" s="21"/>
      <c r="B26" s="63"/>
      <c r="C26" s="21"/>
      <c r="D26" s="63"/>
      <c r="E26" s="21"/>
      <c r="F26" s="21"/>
    </row>
    <row r="27" spans="1:6" ht="19.5" thickBot="1" x14ac:dyDescent="0.35">
      <c r="A27" s="19" t="s">
        <v>6</v>
      </c>
      <c r="B27" s="18"/>
      <c r="C27" s="17"/>
      <c r="D27" s="17"/>
      <c r="E27" s="17"/>
      <c r="F27" s="33">
        <f>F23+F24+F25</f>
        <v>5008.5</v>
      </c>
    </row>
    <row r="28" spans="1:6" ht="19.5" thickBot="1" x14ac:dyDescent="0.35">
      <c r="A28" s="19"/>
      <c r="B28" s="18"/>
      <c r="C28" s="17"/>
      <c r="D28" s="17"/>
      <c r="E28" s="17"/>
      <c r="F28" s="16"/>
    </row>
    <row r="29" spans="1:6" ht="16.5" thickBot="1" x14ac:dyDescent="0.3">
      <c r="A29" s="60" t="s">
        <v>202</v>
      </c>
      <c r="B29" s="59"/>
      <c r="C29" s="59"/>
      <c r="D29" s="58"/>
      <c r="E29" s="58"/>
      <c r="F29" s="57"/>
    </row>
    <row r="30" spans="1:6" ht="18.75" x14ac:dyDescent="0.3">
      <c r="A30" s="10" t="s">
        <v>5</v>
      </c>
      <c r="B30" s="11"/>
      <c r="C30" s="11"/>
      <c r="D30" s="10" t="s">
        <v>4</v>
      </c>
      <c r="E30" s="9"/>
      <c r="F30" s="8"/>
    </row>
    <row r="31" spans="1:6" ht="18.75" x14ac:dyDescent="0.3">
      <c r="A31" s="10" t="s">
        <v>3</v>
      </c>
      <c r="B31" s="11"/>
      <c r="C31" s="11"/>
      <c r="D31" s="10"/>
      <c r="E31" s="9"/>
      <c r="F31" s="8"/>
    </row>
    <row r="32" spans="1:6" ht="18.75" x14ac:dyDescent="0.3">
      <c r="A32" s="10" t="s">
        <v>2</v>
      </c>
      <c r="B32" s="11"/>
      <c r="C32" s="11"/>
      <c r="D32" s="10"/>
      <c r="E32" s="9"/>
      <c r="F32" s="8"/>
    </row>
    <row r="33" spans="1:6" ht="18.75" x14ac:dyDescent="0.3">
      <c r="A33" s="10" t="s">
        <v>1</v>
      </c>
      <c r="B33" s="11"/>
      <c r="C33" s="11"/>
      <c r="D33" s="10"/>
      <c r="E33" s="9"/>
      <c r="F33" s="8"/>
    </row>
    <row r="34" spans="1:6" ht="19.5" thickBot="1" x14ac:dyDescent="0.35">
      <c r="A34" s="6"/>
      <c r="B34" s="7"/>
      <c r="C34" s="7"/>
      <c r="D34" s="6" t="s">
        <v>0</v>
      </c>
      <c r="E34" s="5"/>
      <c r="F34" s="4"/>
    </row>
    <row r="35" spans="1:6" ht="15.75" thickBot="1" x14ac:dyDescent="0.3">
      <c r="A35" s="3"/>
      <c r="B35" s="2"/>
      <c r="C35" s="2"/>
      <c r="D35" s="2"/>
      <c r="E35" s="2"/>
      <c r="F35" s="1"/>
    </row>
  </sheetData>
  <mergeCells count="5">
    <mergeCell ref="A6:C6"/>
    <mergeCell ref="A7:C7"/>
    <mergeCell ref="A8:C8"/>
    <mergeCell ref="A9:C9"/>
    <mergeCell ref="A11:C11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A30" sqref="A30"/>
    </sheetView>
  </sheetViews>
  <sheetFormatPr defaultRowHeight="15" x14ac:dyDescent="0.25"/>
  <cols>
    <col min="1" max="1" width="5.85546875" customWidth="1"/>
    <col min="2" max="2" width="23.42578125" customWidth="1"/>
    <col min="3" max="3" width="12.7109375" customWidth="1"/>
    <col min="4" max="4" width="11" customWidth="1"/>
    <col min="5" max="5" width="12.7109375" customWidth="1"/>
    <col min="6" max="6" width="17.85546875" customWidth="1"/>
  </cols>
  <sheetData>
    <row r="1" spans="1:6" ht="21.75" thickBot="1" x14ac:dyDescent="0.4">
      <c r="A1" s="169"/>
      <c r="B1" s="81" t="s">
        <v>25</v>
      </c>
      <c r="C1" s="81"/>
      <c r="D1" s="170"/>
      <c r="E1" s="74"/>
      <c r="F1" s="75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8.75" x14ac:dyDescent="0.3">
      <c r="A6" s="269" t="s">
        <v>58</v>
      </c>
      <c r="B6" s="270"/>
      <c r="C6" s="272"/>
      <c r="D6" s="11" t="s">
        <v>79</v>
      </c>
      <c r="E6" s="11" t="s">
        <v>180</v>
      </c>
      <c r="F6" s="48"/>
    </row>
    <row r="7" spans="1:6" ht="19.5" thickBot="1" x14ac:dyDescent="0.35">
      <c r="A7" s="245" t="s">
        <v>83</v>
      </c>
      <c r="B7" s="246"/>
      <c r="C7" s="247"/>
      <c r="D7" s="11"/>
      <c r="E7" s="11"/>
      <c r="F7" s="48"/>
    </row>
    <row r="8" spans="1:6" ht="19.5" thickBot="1" x14ac:dyDescent="0.35">
      <c r="A8" s="263" t="s">
        <v>82</v>
      </c>
      <c r="B8" s="264"/>
      <c r="C8" s="265"/>
      <c r="D8" s="44" t="s">
        <v>17</v>
      </c>
      <c r="E8" s="43"/>
      <c r="F8" s="42" t="s">
        <v>191</v>
      </c>
    </row>
    <row r="9" spans="1:6" ht="19.5" thickBot="1" x14ac:dyDescent="0.35">
      <c r="A9" s="263" t="s">
        <v>81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0"/>
      <c r="F10" s="39"/>
    </row>
    <row r="11" spans="1:6" ht="19.5" thickBot="1" x14ac:dyDescent="0.35">
      <c r="A11" s="273" t="s">
        <v>80</v>
      </c>
      <c r="B11" s="274"/>
      <c r="C11" s="275"/>
      <c r="D11" s="19" t="s">
        <v>38</v>
      </c>
      <c r="E11" s="38"/>
      <c r="F11" s="37"/>
    </row>
    <row r="12" spans="1:6" x14ac:dyDescent="0.25">
      <c r="A12" s="176" t="s">
        <v>14</v>
      </c>
      <c r="B12" s="177" t="s">
        <v>13</v>
      </c>
      <c r="C12" s="177" t="s">
        <v>12</v>
      </c>
      <c r="D12" s="177" t="s">
        <v>11</v>
      </c>
      <c r="E12" s="177" t="s">
        <v>10</v>
      </c>
      <c r="F12" s="178" t="s">
        <v>9</v>
      </c>
    </row>
    <row r="13" spans="1:6" ht="15.75" thickBot="1" x14ac:dyDescent="0.3">
      <c r="A13" s="3"/>
      <c r="B13" s="2"/>
      <c r="C13" s="2"/>
      <c r="D13" s="2"/>
      <c r="E13" s="2"/>
      <c r="F13" s="1"/>
    </row>
    <row r="14" spans="1:6" ht="19.5" thickBot="1" x14ac:dyDescent="0.35">
      <c r="A14" s="44">
        <v>1</v>
      </c>
      <c r="B14" s="41" t="s">
        <v>36</v>
      </c>
      <c r="C14" s="171"/>
      <c r="D14" s="172">
        <v>60</v>
      </c>
      <c r="E14" s="173">
        <v>30</v>
      </c>
      <c r="F14" s="133">
        <f>+D14*E14</f>
        <v>1800</v>
      </c>
    </row>
    <row r="15" spans="1:6" x14ac:dyDescent="0.25">
      <c r="A15" s="23"/>
      <c r="B15" s="38"/>
      <c r="C15" s="38"/>
      <c r="D15" s="37"/>
      <c r="E15" s="37"/>
      <c r="F15" s="23"/>
    </row>
    <row r="16" spans="1:6" x14ac:dyDescent="0.25">
      <c r="A16" s="23"/>
      <c r="B16" s="38"/>
      <c r="C16" s="38"/>
      <c r="D16" s="37"/>
      <c r="E16" s="37"/>
      <c r="F16" s="23"/>
    </row>
    <row r="17" spans="1:6" x14ac:dyDescent="0.25">
      <c r="A17" s="23"/>
      <c r="B17" s="38"/>
      <c r="C17" s="38"/>
      <c r="D17" s="37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 t="s">
        <v>30</v>
      </c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ht="18.75" x14ac:dyDescent="0.3">
      <c r="A22" s="23"/>
      <c r="B22" s="11"/>
      <c r="C22" s="38"/>
      <c r="D22" s="37"/>
      <c r="E22" s="37"/>
      <c r="F22" s="23"/>
    </row>
    <row r="23" spans="1:6" ht="19.5" thickBot="1" x14ac:dyDescent="0.35">
      <c r="A23" s="136"/>
      <c r="B23" s="71"/>
      <c r="C23" s="71"/>
      <c r="D23" s="154"/>
      <c r="E23" s="37"/>
      <c r="F23" s="70">
        <f>SUM(F12:F22)</f>
        <v>1800</v>
      </c>
    </row>
    <row r="24" spans="1:6" ht="19.5" thickBot="1" x14ac:dyDescent="0.35">
      <c r="A24" s="168"/>
      <c r="B24" s="11" t="s">
        <v>33</v>
      </c>
      <c r="C24" s="24"/>
      <c r="D24" s="220" t="s">
        <v>133</v>
      </c>
      <c r="E24" s="68"/>
      <c r="F24" s="67">
        <f>F23*2.5/100</f>
        <v>45</v>
      </c>
    </row>
    <row r="25" spans="1:6" ht="19.5" thickBot="1" x14ac:dyDescent="0.35">
      <c r="A25" s="41"/>
      <c r="B25" s="43" t="s">
        <v>32</v>
      </c>
      <c r="C25" s="41"/>
      <c r="D25" s="221" t="s">
        <v>133</v>
      </c>
      <c r="E25" s="41"/>
      <c r="F25" s="65">
        <f>F23*2.5/100</f>
        <v>45</v>
      </c>
    </row>
    <row r="26" spans="1:6" ht="15.75" thickBot="1" x14ac:dyDescent="0.3">
      <c r="A26" s="21"/>
      <c r="B26" s="63"/>
      <c r="C26" s="21"/>
      <c r="D26" s="63"/>
      <c r="E26" s="21"/>
      <c r="F26" s="21"/>
    </row>
    <row r="27" spans="1:6" ht="19.5" thickBot="1" x14ac:dyDescent="0.35">
      <c r="A27" s="19" t="s">
        <v>6</v>
      </c>
      <c r="B27" s="18"/>
      <c r="C27" s="17"/>
      <c r="D27" s="17"/>
      <c r="E27" s="17"/>
      <c r="F27" s="33">
        <f>F23+F24+F25</f>
        <v>1890</v>
      </c>
    </row>
    <row r="28" spans="1:6" ht="19.5" thickBot="1" x14ac:dyDescent="0.35">
      <c r="A28" s="19"/>
      <c r="B28" s="18"/>
      <c r="C28" s="17"/>
      <c r="D28" s="17"/>
      <c r="E28" s="17"/>
      <c r="F28" s="16"/>
    </row>
    <row r="29" spans="1:6" ht="16.5" thickBot="1" x14ac:dyDescent="0.3">
      <c r="A29" s="60" t="s">
        <v>192</v>
      </c>
      <c r="B29" s="59"/>
      <c r="C29" s="59"/>
      <c r="D29" s="58"/>
      <c r="E29" s="58"/>
      <c r="F29" s="57"/>
    </row>
    <row r="30" spans="1:6" ht="18.75" x14ac:dyDescent="0.3">
      <c r="A30" s="10" t="s">
        <v>5</v>
      </c>
      <c r="B30" s="11"/>
      <c r="C30" s="11"/>
      <c r="D30" s="10" t="s">
        <v>4</v>
      </c>
      <c r="E30" s="9"/>
      <c r="F30" s="8"/>
    </row>
    <row r="31" spans="1:6" ht="18.75" x14ac:dyDescent="0.3">
      <c r="A31" s="10" t="s">
        <v>3</v>
      </c>
      <c r="B31" s="11"/>
      <c r="C31" s="11"/>
      <c r="D31" s="10"/>
      <c r="E31" s="9"/>
      <c r="F31" s="8"/>
    </row>
    <row r="32" spans="1:6" ht="18.75" x14ac:dyDescent="0.3">
      <c r="A32" s="10" t="s">
        <v>2</v>
      </c>
      <c r="B32" s="11"/>
      <c r="C32" s="11"/>
      <c r="D32" s="10"/>
      <c r="E32" s="9"/>
      <c r="F32" s="8"/>
    </row>
    <row r="33" spans="1:6" ht="18.75" x14ac:dyDescent="0.3">
      <c r="A33" s="10" t="s">
        <v>1</v>
      </c>
      <c r="B33" s="11"/>
      <c r="C33" s="11"/>
      <c r="D33" s="10"/>
      <c r="E33" s="9"/>
      <c r="F33" s="8"/>
    </row>
    <row r="34" spans="1:6" ht="19.5" thickBot="1" x14ac:dyDescent="0.35">
      <c r="A34" s="6"/>
      <c r="B34" s="7"/>
      <c r="C34" s="7"/>
      <c r="D34" s="6" t="s">
        <v>0</v>
      </c>
      <c r="E34" s="5"/>
      <c r="F34" s="4"/>
    </row>
    <row r="35" spans="1:6" ht="15.75" thickBot="1" x14ac:dyDescent="0.3">
      <c r="A35" s="3"/>
      <c r="B35" s="2"/>
      <c r="C35" s="2"/>
      <c r="D35" s="2"/>
      <c r="E35" s="2"/>
      <c r="F35" s="1"/>
    </row>
  </sheetData>
  <mergeCells count="5">
    <mergeCell ref="A6:C6"/>
    <mergeCell ref="A7:C7"/>
    <mergeCell ref="A8:C8"/>
    <mergeCell ref="A9:C9"/>
    <mergeCell ref="A11:C11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A30" sqref="A30"/>
    </sheetView>
  </sheetViews>
  <sheetFormatPr defaultRowHeight="15" x14ac:dyDescent="0.25"/>
  <cols>
    <col min="1" max="1" width="7" customWidth="1"/>
    <col min="2" max="2" width="23.5703125" customWidth="1"/>
    <col min="3" max="3" width="11.42578125" customWidth="1"/>
    <col min="4" max="4" width="11.85546875" customWidth="1"/>
    <col min="5" max="5" width="13" customWidth="1"/>
    <col min="6" max="6" width="16.85546875" customWidth="1"/>
  </cols>
  <sheetData>
    <row r="1" spans="1:6" ht="21.75" thickBot="1" x14ac:dyDescent="0.4">
      <c r="A1" s="169"/>
      <c r="B1" s="81" t="s">
        <v>25</v>
      </c>
      <c r="C1" s="81"/>
      <c r="D1" s="170"/>
      <c r="E1" s="74"/>
      <c r="F1" s="75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8.75" x14ac:dyDescent="0.3">
      <c r="A6" s="269" t="s">
        <v>58</v>
      </c>
      <c r="B6" s="270"/>
      <c r="C6" s="272"/>
      <c r="D6" s="11" t="s">
        <v>79</v>
      </c>
      <c r="E6" s="11" t="s">
        <v>180</v>
      </c>
      <c r="F6" s="48"/>
    </row>
    <row r="7" spans="1:6" ht="19.5" thickBot="1" x14ac:dyDescent="0.35">
      <c r="A7" s="245" t="s">
        <v>83</v>
      </c>
      <c r="B7" s="246"/>
      <c r="C7" s="247"/>
      <c r="D7" s="11"/>
      <c r="E7" s="11"/>
      <c r="F7" s="48"/>
    </row>
    <row r="8" spans="1:6" ht="19.5" thickBot="1" x14ac:dyDescent="0.35">
      <c r="A8" s="263" t="s">
        <v>127</v>
      </c>
      <c r="B8" s="264"/>
      <c r="C8" s="265"/>
      <c r="D8" s="44" t="s">
        <v>17</v>
      </c>
      <c r="E8" s="43"/>
      <c r="F8" s="42" t="s">
        <v>200</v>
      </c>
    </row>
    <row r="9" spans="1:6" ht="19.5" thickBot="1" x14ac:dyDescent="0.35">
      <c r="A9" s="263" t="s">
        <v>81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0"/>
      <c r="F10" s="39"/>
    </row>
    <row r="11" spans="1:6" ht="19.5" thickBot="1" x14ac:dyDescent="0.35">
      <c r="A11" s="273" t="s">
        <v>80</v>
      </c>
      <c r="B11" s="274"/>
      <c r="C11" s="275"/>
      <c r="D11" s="19" t="s">
        <v>38</v>
      </c>
      <c r="E11" s="38"/>
      <c r="F11" s="37"/>
    </row>
    <row r="12" spans="1:6" x14ac:dyDescent="0.25">
      <c r="A12" s="176" t="s">
        <v>14</v>
      </c>
      <c r="B12" s="177" t="s">
        <v>13</v>
      </c>
      <c r="C12" s="177" t="s">
        <v>12</v>
      </c>
      <c r="D12" s="177" t="s">
        <v>11</v>
      </c>
      <c r="E12" s="177" t="s">
        <v>10</v>
      </c>
      <c r="F12" s="178" t="s">
        <v>9</v>
      </c>
    </row>
    <row r="13" spans="1:6" ht="15.75" thickBot="1" x14ac:dyDescent="0.3">
      <c r="A13" s="3"/>
      <c r="B13" s="2"/>
      <c r="C13" s="2"/>
      <c r="D13" s="2"/>
      <c r="E13" s="2"/>
      <c r="F13" s="1"/>
    </row>
    <row r="14" spans="1:6" ht="19.5" thickBot="1" x14ac:dyDescent="0.35">
      <c r="A14" s="44">
        <v>1</v>
      </c>
      <c r="B14" s="41" t="s">
        <v>36</v>
      </c>
      <c r="C14" s="171"/>
      <c r="D14" s="172">
        <v>84</v>
      </c>
      <c r="E14" s="173">
        <v>30</v>
      </c>
      <c r="F14" s="133">
        <f>+D14*E14</f>
        <v>2520</v>
      </c>
    </row>
    <row r="15" spans="1:6" x14ac:dyDescent="0.25">
      <c r="A15" s="23"/>
      <c r="B15" s="38"/>
      <c r="C15" s="38"/>
      <c r="D15" s="37"/>
      <c r="E15" s="37"/>
      <c r="F15" s="23"/>
    </row>
    <row r="16" spans="1:6" x14ac:dyDescent="0.25">
      <c r="A16" s="23"/>
      <c r="B16" s="38"/>
      <c r="C16" s="38"/>
      <c r="D16" s="37"/>
      <c r="E16" s="37"/>
      <c r="F16" s="23"/>
    </row>
    <row r="17" spans="1:6" x14ac:dyDescent="0.25">
      <c r="A17" s="23"/>
      <c r="B17" s="38"/>
      <c r="C17" s="38"/>
      <c r="D17" s="37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 t="s">
        <v>30</v>
      </c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ht="18.75" x14ac:dyDescent="0.3">
      <c r="A22" s="23"/>
      <c r="B22" s="11"/>
      <c r="C22" s="38"/>
      <c r="D22" s="37"/>
      <c r="E22" s="37"/>
      <c r="F22" s="23"/>
    </row>
    <row r="23" spans="1:6" ht="19.5" thickBot="1" x14ac:dyDescent="0.35">
      <c r="A23" s="136"/>
      <c r="B23" s="71"/>
      <c r="C23" s="71"/>
      <c r="D23" s="154"/>
      <c r="E23" s="37"/>
      <c r="F23" s="70">
        <f>SUM(F12:F22)</f>
        <v>2520</v>
      </c>
    </row>
    <row r="24" spans="1:6" ht="19.5" thickBot="1" x14ac:dyDescent="0.35">
      <c r="A24" s="168"/>
      <c r="B24" s="11" t="s">
        <v>33</v>
      </c>
      <c r="C24" s="24"/>
      <c r="D24" s="220" t="s">
        <v>133</v>
      </c>
      <c r="E24" s="68"/>
      <c r="F24" s="67">
        <f>F23*2.5/100</f>
        <v>63</v>
      </c>
    </row>
    <row r="25" spans="1:6" ht="19.5" thickBot="1" x14ac:dyDescent="0.35">
      <c r="A25" s="41"/>
      <c r="B25" s="43" t="s">
        <v>32</v>
      </c>
      <c r="C25" s="41"/>
      <c r="D25" s="221" t="s">
        <v>133</v>
      </c>
      <c r="E25" s="41"/>
      <c r="F25" s="65">
        <f>F23*2.5/100</f>
        <v>63</v>
      </c>
    </row>
    <row r="26" spans="1:6" ht="15.75" thickBot="1" x14ac:dyDescent="0.3">
      <c r="A26" s="21"/>
      <c r="B26" s="63"/>
      <c r="C26" s="21"/>
      <c r="D26" s="63"/>
      <c r="E26" s="21"/>
      <c r="F26" s="21"/>
    </row>
    <row r="27" spans="1:6" ht="19.5" thickBot="1" x14ac:dyDescent="0.35">
      <c r="A27" s="19" t="s">
        <v>6</v>
      </c>
      <c r="B27" s="18"/>
      <c r="C27" s="17"/>
      <c r="D27" s="17"/>
      <c r="E27" s="17"/>
      <c r="F27" s="33">
        <f>F23+F24+F25</f>
        <v>2646</v>
      </c>
    </row>
    <row r="28" spans="1:6" ht="19.5" thickBot="1" x14ac:dyDescent="0.35">
      <c r="A28" s="19"/>
      <c r="B28" s="18"/>
      <c r="C28" s="17"/>
      <c r="D28" s="17"/>
      <c r="E28" s="17"/>
      <c r="F28" s="16"/>
    </row>
    <row r="29" spans="1:6" ht="16.5" thickBot="1" x14ac:dyDescent="0.3">
      <c r="A29" s="60" t="s">
        <v>201</v>
      </c>
      <c r="B29" s="59"/>
      <c r="C29" s="59"/>
      <c r="D29" s="58"/>
      <c r="E29" s="58"/>
      <c r="F29" s="57"/>
    </row>
    <row r="30" spans="1:6" ht="18.75" x14ac:dyDescent="0.3">
      <c r="A30" s="95" t="s">
        <v>123</v>
      </c>
      <c r="B30" s="94"/>
      <c r="C30" s="94"/>
      <c r="D30" s="10" t="s">
        <v>4</v>
      </c>
      <c r="E30" s="9"/>
      <c r="F30" s="8"/>
    </row>
    <row r="31" spans="1:6" ht="18.75" x14ac:dyDescent="0.3">
      <c r="A31" s="95" t="s">
        <v>124</v>
      </c>
      <c r="B31" s="94"/>
      <c r="C31" s="94"/>
      <c r="D31" s="10"/>
      <c r="E31" s="9"/>
      <c r="F31" s="8"/>
    </row>
    <row r="32" spans="1:6" ht="18.75" x14ac:dyDescent="0.3">
      <c r="A32" s="95" t="s">
        <v>125</v>
      </c>
      <c r="B32" s="94"/>
      <c r="C32" s="94"/>
      <c r="D32" s="10"/>
      <c r="E32" s="9"/>
      <c r="F32" s="8"/>
    </row>
    <row r="33" spans="1:6" ht="18.75" x14ac:dyDescent="0.3">
      <c r="A33" s="95" t="s">
        <v>126</v>
      </c>
      <c r="B33" s="94"/>
      <c r="C33" s="94"/>
      <c r="D33" s="10"/>
      <c r="E33" s="9"/>
      <c r="F33" s="8"/>
    </row>
    <row r="34" spans="1:6" ht="19.5" thickBot="1" x14ac:dyDescent="0.35">
      <c r="A34" s="118"/>
      <c r="B34" s="119"/>
      <c r="C34" s="119"/>
      <c r="D34" s="6" t="s">
        <v>0</v>
      </c>
      <c r="E34" s="5"/>
      <c r="F34" s="4"/>
    </row>
    <row r="35" spans="1:6" ht="15.75" thickBot="1" x14ac:dyDescent="0.3">
      <c r="A35" s="3"/>
      <c r="B35" s="2"/>
      <c r="C35" s="2"/>
      <c r="D35" s="2"/>
      <c r="E35" s="2"/>
      <c r="F35" s="1"/>
    </row>
  </sheetData>
  <mergeCells count="5">
    <mergeCell ref="A6:C6"/>
    <mergeCell ref="A7:C7"/>
    <mergeCell ref="A8:C8"/>
    <mergeCell ref="A9:C9"/>
    <mergeCell ref="A11:C11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F9" sqref="F9"/>
    </sheetView>
  </sheetViews>
  <sheetFormatPr defaultRowHeight="15" x14ac:dyDescent="0.25"/>
  <cols>
    <col min="1" max="1" width="7.5703125" customWidth="1"/>
    <col min="2" max="2" width="23.85546875" customWidth="1"/>
    <col min="3" max="3" width="11.7109375" customWidth="1"/>
    <col min="4" max="4" width="12.28515625" customWidth="1"/>
    <col min="5" max="5" width="11.7109375" customWidth="1"/>
    <col min="6" max="6" width="20.5703125" customWidth="1"/>
  </cols>
  <sheetData>
    <row r="1" spans="1:6" ht="21.75" thickBot="1" x14ac:dyDescent="0.4">
      <c r="A1" s="169"/>
      <c r="B1" s="81" t="s">
        <v>25</v>
      </c>
      <c r="C1" s="81"/>
      <c r="D1" s="170"/>
      <c r="E1" s="74"/>
      <c r="F1" s="75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8.75" x14ac:dyDescent="0.3">
      <c r="A6" s="269" t="s">
        <v>58</v>
      </c>
      <c r="B6" s="270"/>
      <c r="C6" s="272"/>
      <c r="D6" s="11" t="s">
        <v>79</v>
      </c>
      <c r="E6" s="11" t="s">
        <v>180</v>
      </c>
      <c r="F6" s="48"/>
    </row>
    <row r="7" spans="1:6" ht="19.5" thickBot="1" x14ac:dyDescent="0.35">
      <c r="A7" s="245" t="s">
        <v>83</v>
      </c>
      <c r="B7" s="246"/>
      <c r="C7" s="247"/>
      <c r="D7" s="11"/>
      <c r="E7" s="11"/>
      <c r="F7" s="48"/>
    </row>
    <row r="8" spans="1:6" ht="19.5" thickBot="1" x14ac:dyDescent="0.35">
      <c r="A8" s="263" t="s">
        <v>84</v>
      </c>
      <c r="B8" s="264"/>
      <c r="C8" s="265"/>
      <c r="D8" s="44" t="s">
        <v>17</v>
      </c>
      <c r="E8" s="43"/>
      <c r="F8" s="42" t="s">
        <v>194</v>
      </c>
    </row>
    <row r="9" spans="1:6" ht="19.5" thickBot="1" x14ac:dyDescent="0.35">
      <c r="A9" s="263" t="s">
        <v>81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0"/>
      <c r="F10" s="39"/>
    </row>
    <row r="11" spans="1:6" ht="19.5" thickBot="1" x14ac:dyDescent="0.35">
      <c r="A11" s="273" t="s">
        <v>80</v>
      </c>
      <c r="B11" s="274"/>
      <c r="C11" s="275"/>
      <c r="D11" s="19" t="s">
        <v>38</v>
      </c>
      <c r="E11" s="38"/>
      <c r="F11" s="37"/>
    </row>
    <row r="12" spans="1:6" x14ac:dyDescent="0.25">
      <c r="A12" s="176" t="s">
        <v>14</v>
      </c>
      <c r="B12" s="177" t="s">
        <v>13</v>
      </c>
      <c r="C12" s="177" t="s">
        <v>12</v>
      </c>
      <c r="D12" s="177" t="s">
        <v>11</v>
      </c>
      <c r="E12" s="177" t="s">
        <v>10</v>
      </c>
      <c r="F12" s="178" t="s">
        <v>9</v>
      </c>
    </row>
    <row r="13" spans="1:6" ht="15.75" thickBot="1" x14ac:dyDescent="0.3">
      <c r="A13" s="3"/>
      <c r="B13" s="2"/>
      <c r="C13" s="2"/>
      <c r="D13" s="2"/>
      <c r="E13" s="2"/>
      <c r="F13" s="1"/>
    </row>
    <row r="14" spans="1:6" ht="19.5" thickBot="1" x14ac:dyDescent="0.35">
      <c r="A14" s="44">
        <v>1</v>
      </c>
      <c r="B14" s="41" t="s">
        <v>36</v>
      </c>
      <c r="C14" s="171"/>
      <c r="D14" s="172">
        <v>15</v>
      </c>
      <c r="E14" s="173">
        <v>30</v>
      </c>
      <c r="F14" s="133">
        <f>+D14*E14</f>
        <v>450</v>
      </c>
    </row>
    <row r="15" spans="1:6" x14ac:dyDescent="0.25">
      <c r="A15" s="23"/>
      <c r="B15" s="38"/>
      <c r="C15" s="38"/>
      <c r="D15" s="37"/>
      <c r="E15" s="37"/>
      <c r="F15" s="23"/>
    </row>
    <row r="16" spans="1:6" x14ac:dyDescent="0.25">
      <c r="A16" s="23"/>
      <c r="B16" s="38"/>
      <c r="C16" s="38"/>
      <c r="D16" s="37"/>
      <c r="E16" s="37"/>
      <c r="F16" s="23"/>
    </row>
    <row r="17" spans="1:6" x14ac:dyDescent="0.25">
      <c r="A17" s="23"/>
      <c r="B17" s="38"/>
      <c r="C17" s="38"/>
      <c r="D17" s="37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 t="s">
        <v>30</v>
      </c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ht="18.75" x14ac:dyDescent="0.3">
      <c r="A22" s="23"/>
      <c r="B22" s="11"/>
      <c r="C22" s="38"/>
      <c r="D22" s="37"/>
      <c r="E22" s="37"/>
      <c r="F22" s="23"/>
    </row>
    <row r="23" spans="1:6" ht="19.5" thickBot="1" x14ac:dyDescent="0.35">
      <c r="A23" s="136"/>
      <c r="B23" s="71"/>
      <c r="C23" s="71"/>
      <c r="D23" s="154"/>
      <c r="E23" s="37"/>
      <c r="F23" s="70">
        <f>SUM(F12:F22)</f>
        <v>450</v>
      </c>
    </row>
    <row r="24" spans="1:6" ht="19.5" thickBot="1" x14ac:dyDescent="0.35">
      <c r="A24" s="168"/>
      <c r="B24" s="11" t="s">
        <v>33</v>
      </c>
      <c r="C24" s="24"/>
      <c r="D24" s="220" t="s">
        <v>133</v>
      </c>
      <c r="E24" s="68"/>
      <c r="F24" s="67">
        <f>F23*2.5/100</f>
        <v>11.25</v>
      </c>
    </row>
    <row r="25" spans="1:6" ht="19.5" thickBot="1" x14ac:dyDescent="0.35">
      <c r="A25" s="41"/>
      <c r="B25" s="43" t="s">
        <v>32</v>
      </c>
      <c r="C25" s="41"/>
      <c r="D25" s="221" t="s">
        <v>133</v>
      </c>
      <c r="E25" s="41"/>
      <c r="F25" s="65">
        <f>F23*2.5/100</f>
        <v>11.25</v>
      </c>
    </row>
    <row r="26" spans="1:6" ht="15.75" thickBot="1" x14ac:dyDescent="0.3">
      <c r="A26" s="21"/>
      <c r="B26" s="63"/>
      <c r="C26" s="21"/>
      <c r="D26" s="63"/>
      <c r="E26" s="21"/>
      <c r="F26" s="21"/>
    </row>
    <row r="27" spans="1:6" ht="19.5" thickBot="1" x14ac:dyDescent="0.35">
      <c r="A27" s="19" t="s">
        <v>6</v>
      </c>
      <c r="B27" s="18"/>
      <c r="C27" s="17"/>
      <c r="D27" s="17"/>
      <c r="E27" s="17"/>
      <c r="F27" s="33">
        <f>F23+F24+F25</f>
        <v>472.5</v>
      </c>
    </row>
    <row r="28" spans="1:6" ht="19.5" thickBot="1" x14ac:dyDescent="0.35">
      <c r="A28" s="19"/>
      <c r="B28" s="18"/>
      <c r="C28" s="17"/>
      <c r="D28" s="17"/>
      <c r="E28" s="17"/>
      <c r="F28" s="16"/>
    </row>
    <row r="29" spans="1:6" ht="16.5" thickBot="1" x14ac:dyDescent="0.3">
      <c r="A29" s="60" t="s">
        <v>193</v>
      </c>
      <c r="B29" s="59"/>
      <c r="C29" s="59"/>
      <c r="D29" s="58"/>
      <c r="E29" s="58"/>
      <c r="F29" s="57"/>
    </row>
    <row r="30" spans="1:6" ht="18.75" x14ac:dyDescent="0.3">
      <c r="A30" s="95" t="s">
        <v>123</v>
      </c>
      <c r="B30" s="94"/>
      <c r="C30" s="94"/>
      <c r="D30" s="10" t="s">
        <v>4</v>
      </c>
      <c r="E30" s="9"/>
      <c r="F30" s="8"/>
    </row>
    <row r="31" spans="1:6" ht="18.75" x14ac:dyDescent="0.3">
      <c r="A31" s="10" t="s">
        <v>3</v>
      </c>
      <c r="B31" s="11"/>
      <c r="C31" s="11"/>
      <c r="D31" s="10"/>
      <c r="E31" s="9"/>
      <c r="F31" s="8"/>
    </row>
    <row r="32" spans="1:6" ht="18.75" x14ac:dyDescent="0.3">
      <c r="A32" s="10" t="s">
        <v>2</v>
      </c>
      <c r="B32" s="11"/>
      <c r="C32" s="11"/>
      <c r="D32" s="10"/>
      <c r="E32" s="9"/>
      <c r="F32" s="8"/>
    </row>
    <row r="33" spans="1:6" ht="18.75" x14ac:dyDescent="0.3">
      <c r="A33" s="10" t="s">
        <v>1</v>
      </c>
      <c r="B33" s="11"/>
      <c r="C33" s="11"/>
      <c r="D33" s="10"/>
      <c r="E33" s="9"/>
      <c r="F33" s="8"/>
    </row>
    <row r="34" spans="1:6" ht="19.5" thickBot="1" x14ac:dyDescent="0.35">
      <c r="A34" s="6"/>
      <c r="B34" s="7"/>
      <c r="C34" s="7"/>
      <c r="D34" s="6" t="s">
        <v>0</v>
      </c>
      <c r="E34" s="5"/>
      <c r="F34" s="4"/>
    </row>
    <row r="35" spans="1:6" ht="15.75" thickBot="1" x14ac:dyDescent="0.3">
      <c r="A35" s="3"/>
      <c r="B35" s="2"/>
      <c r="C35" s="2"/>
      <c r="D35" s="2"/>
      <c r="E35" s="2"/>
      <c r="F35" s="1"/>
    </row>
  </sheetData>
  <mergeCells count="5">
    <mergeCell ref="A6:C6"/>
    <mergeCell ref="A7:C7"/>
    <mergeCell ref="A8:C8"/>
    <mergeCell ref="A9:C9"/>
    <mergeCell ref="A11:C11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E7" sqref="E7"/>
    </sheetView>
  </sheetViews>
  <sheetFormatPr defaultRowHeight="15" x14ac:dyDescent="0.25"/>
  <cols>
    <col min="2" max="2" width="24.28515625" customWidth="1"/>
    <col min="3" max="3" width="11.42578125" customWidth="1"/>
    <col min="4" max="4" width="11" customWidth="1"/>
    <col min="5" max="5" width="11.7109375" customWidth="1"/>
    <col min="6" max="6" width="16.140625" customWidth="1"/>
  </cols>
  <sheetData>
    <row r="1" spans="1:6" ht="21.75" thickBot="1" x14ac:dyDescent="0.4">
      <c r="A1" s="169"/>
      <c r="B1" s="81" t="s">
        <v>25</v>
      </c>
      <c r="C1" s="81"/>
      <c r="D1" s="170"/>
      <c r="E1" s="74"/>
      <c r="F1" s="75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8.75" x14ac:dyDescent="0.3">
      <c r="A6" s="269" t="s">
        <v>58</v>
      </c>
      <c r="B6" s="270"/>
      <c r="C6" s="272"/>
      <c r="D6" s="11" t="s">
        <v>79</v>
      </c>
      <c r="E6" s="11" t="s">
        <v>180</v>
      </c>
      <c r="F6" s="48"/>
    </row>
    <row r="7" spans="1:6" ht="19.5" thickBot="1" x14ac:dyDescent="0.35">
      <c r="A7" s="245" t="s">
        <v>92</v>
      </c>
      <c r="B7" s="246"/>
      <c r="C7" s="247"/>
      <c r="D7" s="11"/>
      <c r="E7" s="11"/>
      <c r="F7" s="48"/>
    </row>
    <row r="8" spans="1:6" ht="19.5" thickBot="1" x14ac:dyDescent="0.35">
      <c r="A8" s="263" t="s">
        <v>93</v>
      </c>
      <c r="B8" s="264"/>
      <c r="C8" s="265"/>
      <c r="D8" s="44" t="s">
        <v>17</v>
      </c>
      <c r="E8" s="43"/>
      <c r="F8" s="42" t="s">
        <v>195</v>
      </c>
    </row>
    <row r="9" spans="1:6" ht="19.5" thickBot="1" x14ac:dyDescent="0.35">
      <c r="A9" s="263" t="s">
        <v>94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0"/>
      <c r="F10" s="39"/>
    </row>
    <row r="11" spans="1:6" ht="19.5" thickBot="1" x14ac:dyDescent="0.35">
      <c r="A11" s="273" t="s">
        <v>95</v>
      </c>
      <c r="B11" s="274"/>
      <c r="C11" s="275"/>
      <c r="D11" s="19" t="s">
        <v>38</v>
      </c>
      <c r="E11" s="38"/>
      <c r="F11" s="37"/>
    </row>
    <row r="12" spans="1:6" x14ac:dyDescent="0.25">
      <c r="A12" s="176" t="s">
        <v>14</v>
      </c>
      <c r="B12" s="177" t="s">
        <v>13</v>
      </c>
      <c r="C12" s="177" t="s">
        <v>12</v>
      </c>
      <c r="D12" s="177" t="s">
        <v>11</v>
      </c>
      <c r="E12" s="177" t="s">
        <v>10</v>
      </c>
      <c r="F12" s="178" t="s">
        <v>9</v>
      </c>
    </row>
    <row r="13" spans="1:6" ht="15.75" thickBot="1" x14ac:dyDescent="0.3">
      <c r="A13" s="3"/>
      <c r="B13" s="2"/>
      <c r="C13" s="2"/>
      <c r="D13" s="2"/>
      <c r="E13" s="2"/>
      <c r="F13" s="1"/>
    </row>
    <row r="14" spans="1:6" ht="19.5" thickBot="1" x14ac:dyDescent="0.35">
      <c r="A14" s="44">
        <v>1</v>
      </c>
      <c r="B14" s="41" t="s">
        <v>36</v>
      </c>
      <c r="C14" s="171"/>
      <c r="D14" s="172">
        <v>100</v>
      </c>
      <c r="E14" s="173">
        <v>30</v>
      </c>
      <c r="F14" s="133">
        <f>+D14*E14</f>
        <v>3000</v>
      </c>
    </row>
    <row r="15" spans="1:6" x14ac:dyDescent="0.25">
      <c r="A15" s="23"/>
      <c r="B15" s="38"/>
      <c r="C15" s="38"/>
      <c r="D15" s="37"/>
      <c r="E15" s="37"/>
      <c r="F15" s="23"/>
    </row>
    <row r="16" spans="1:6" x14ac:dyDescent="0.25">
      <c r="A16" s="23"/>
      <c r="B16" s="38"/>
      <c r="C16" s="38"/>
      <c r="D16" s="37"/>
      <c r="E16" s="37"/>
      <c r="F16" s="23"/>
    </row>
    <row r="17" spans="1:6" x14ac:dyDescent="0.25">
      <c r="A17" s="23"/>
      <c r="B17" s="38"/>
      <c r="C17" s="38"/>
      <c r="D17" s="37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 t="s">
        <v>30</v>
      </c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ht="18.75" x14ac:dyDescent="0.3">
      <c r="A22" s="23"/>
      <c r="B22" s="11"/>
      <c r="C22" s="38"/>
      <c r="D22" s="37"/>
      <c r="E22" s="37"/>
      <c r="F22" s="23"/>
    </row>
    <row r="23" spans="1:6" ht="19.5" thickBot="1" x14ac:dyDescent="0.35">
      <c r="A23" s="136"/>
      <c r="B23" s="71"/>
      <c r="C23" s="71"/>
      <c r="D23" s="154"/>
      <c r="E23" s="37"/>
      <c r="F23" s="70">
        <f>SUM(F12:F22)</f>
        <v>3000</v>
      </c>
    </row>
    <row r="24" spans="1:6" ht="19.5" thickBot="1" x14ac:dyDescent="0.35">
      <c r="A24" s="168"/>
      <c r="B24" s="11" t="s">
        <v>33</v>
      </c>
      <c r="C24" s="24"/>
      <c r="D24" s="220" t="s">
        <v>133</v>
      </c>
      <c r="E24" s="68"/>
      <c r="F24" s="67">
        <f>F23*2.5/100</f>
        <v>75</v>
      </c>
    </row>
    <row r="25" spans="1:6" ht="19.5" thickBot="1" x14ac:dyDescent="0.35">
      <c r="A25" s="41"/>
      <c r="B25" s="43" t="s">
        <v>32</v>
      </c>
      <c r="C25" s="41"/>
      <c r="D25" s="221" t="s">
        <v>133</v>
      </c>
      <c r="E25" s="41"/>
      <c r="F25" s="65">
        <f>F23*2.5/100</f>
        <v>75</v>
      </c>
    </row>
    <row r="26" spans="1:6" ht="15.75" thickBot="1" x14ac:dyDescent="0.3">
      <c r="A26" s="21"/>
      <c r="B26" s="63"/>
      <c r="C26" s="21"/>
      <c r="D26" s="63"/>
      <c r="E26" s="21"/>
      <c r="F26" s="21"/>
    </row>
    <row r="27" spans="1:6" ht="19.5" thickBot="1" x14ac:dyDescent="0.35">
      <c r="A27" s="19" t="s">
        <v>6</v>
      </c>
      <c r="B27" s="18"/>
      <c r="C27" s="17"/>
      <c r="D27" s="17"/>
      <c r="E27" s="17"/>
      <c r="F27" s="33">
        <f>F23+F24+F25</f>
        <v>3150</v>
      </c>
    </row>
    <row r="28" spans="1:6" ht="19.5" thickBot="1" x14ac:dyDescent="0.35">
      <c r="A28" s="19"/>
      <c r="B28" s="18"/>
      <c r="C28" s="17"/>
      <c r="D28" s="17"/>
      <c r="E28" s="17"/>
      <c r="F28" s="16"/>
    </row>
    <row r="29" spans="1:6" ht="16.5" thickBot="1" x14ac:dyDescent="0.3">
      <c r="A29" s="60" t="s">
        <v>196</v>
      </c>
      <c r="B29" s="59"/>
      <c r="C29" s="59"/>
      <c r="D29" s="58"/>
      <c r="E29" s="58"/>
      <c r="F29" s="57"/>
    </row>
    <row r="30" spans="1:6" ht="18.75" x14ac:dyDescent="0.3">
      <c r="A30" s="10" t="s">
        <v>5</v>
      </c>
      <c r="B30" s="11"/>
      <c r="C30" s="11"/>
      <c r="D30" s="10" t="s">
        <v>4</v>
      </c>
      <c r="E30" s="9"/>
      <c r="F30" s="8"/>
    </row>
    <row r="31" spans="1:6" ht="18.75" x14ac:dyDescent="0.3">
      <c r="A31" s="10" t="s">
        <v>3</v>
      </c>
      <c r="B31" s="11"/>
      <c r="C31" s="11"/>
      <c r="D31" s="10"/>
      <c r="E31" s="9"/>
      <c r="F31" s="8"/>
    </row>
    <row r="32" spans="1:6" ht="18.75" x14ac:dyDescent="0.3">
      <c r="A32" s="10" t="s">
        <v>2</v>
      </c>
      <c r="B32" s="11"/>
      <c r="C32" s="11"/>
      <c r="D32" s="10"/>
      <c r="E32" s="9"/>
      <c r="F32" s="8"/>
    </row>
    <row r="33" spans="1:6" ht="18.75" x14ac:dyDescent="0.3">
      <c r="A33" s="10" t="s">
        <v>1</v>
      </c>
      <c r="B33" s="11"/>
      <c r="C33" s="11"/>
      <c r="D33" s="10"/>
      <c r="E33" s="9"/>
      <c r="F33" s="8"/>
    </row>
    <row r="34" spans="1:6" ht="19.5" thickBot="1" x14ac:dyDescent="0.35">
      <c r="A34" s="6"/>
      <c r="B34" s="7"/>
      <c r="C34" s="7"/>
      <c r="D34" s="6" t="s">
        <v>0</v>
      </c>
      <c r="E34" s="5"/>
      <c r="F34" s="4"/>
    </row>
    <row r="35" spans="1:6" ht="15.75" thickBot="1" x14ac:dyDescent="0.3">
      <c r="A35" s="3"/>
      <c r="B35" s="2"/>
      <c r="C35" s="2"/>
      <c r="D35" s="2"/>
      <c r="E35" s="2"/>
      <c r="F35" s="1"/>
    </row>
  </sheetData>
  <mergeCells count="5">
    <mergeCell ref="A6:C6"/>
    <mergeCell ref="A7:C7"/>
    <mergeCell ref="A8:C8"/>
    <mergeCell ref="A9:C9"/>
    <mergeCell ref="A11:C11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B17" sqref="B17"/>
    </sheetView>
  </sheetViews>
  <sheetFormatPr defaultRowHeight="15" x14ac:dyDescent="0.25"/>
  <cols>
    <col min="1" max="1" width="8.140625" customWidth="1"/>
    <col min="2" max="2" width="26.5703125" customWidth="1"/>
    <col min="3" max="3" width="10.42578125" customWidth="1"/>
    <col min="4" max="4" width="11.7109375" customWidth="1"/>
    <col min="5" max="5" width="11.28515625" customWidth="1"/>
    <col min="6" max="6" width="18.85546875" customWidth="1"/>
  </cols>
  <sheetData>
    <row r="1" spans="1:6" ht="21.75" thickBot="1" x14ac:dyDescent="0.4">
      <c r="A1" s="169"/>
      <c r="B1" s="81" t="s">
        <v>25</v>
      </c>
      <c r="C1" s="81"/>
      <c r="D1" s="170"/>
      <c r="E1" s="74"/>
      <c r="F1" s="75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8.75" x14ac:dyDescent="0.3">
      <c r="A6" s="269" t="s">
        <v>58</v>
      </c>
      <c r="B6" s="270"/>
      <c r="C6" s="272"/>
      <c r="D6" s="11" t="s">
        <v>79</v>
      </c>
      <c r="E6" s="11" t="s">
        <v>176</v>
      </c>
      <c r="F6" s="48"/>
    </row>
    <row r="7" spans="1:6" ht="19.5" thickBot="1" x14ac:dyDescent="0.35">
      <c r="A7" s="245" t="s">
        <v>108</v>
      </c>
      <c r="B7" s="246"/>
      <c r="C7" s="247"/>
      <c r="D7" s="11"/>
      <c r="E7" s="11"/>
      <c r="F7" s="48"/>
    </row>
    <row r="8" spans="1:6" ht="19.5" thickBot="1" x14ac:dyDescent="0.35">
      <c r="A8" s="263" t="s">
        <v>109</v>
      </c>
      <c r="B8" s="264"/>
      <c r="C8" s="265"/>
      <c r="D8" s="44" t="s">
        <v>17</v>
      </c>
      <c r="E8" s="43"/>
      <c r="F8" s="42" t="s">
        <v>177</v>
      </c>
    </row>
    <row r="9" spans="1:6" ht="19.5" thickBot="1" x14ac:dyDescent="0.35">
      <c r="A9" s="263" t="s">
        <v>110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0"/>
      <c r="F10" s="39"/>
    </row>
    <row r="11" spans="1:6" ht="19.5" thickBot="1" x14ac:dyDescent="0.35">
      <c r="A11" s="273" t="s">
        <v>111</v>
      </c>
      <c r="B11" s="274"/>
      <c r="C11" s="275"/>
      <c r="D11" s="19" t="s">
        <v>38</v>
      </c>
      <c r="E11" s="38"/>
      <c r="F11" s="37"/>
    </row>
    <row r="12" spans="1:6" x14ac:dyDescent="0.25">
      <c r="A12" s="176" t="s">
        <v>14</v>
      </c>
      <c r="B12" s="177" t="s">
        <v>13</v>
      </c>
      <c r="C12" s="177" t="s">
        <v>12</v>
      </c>
      <c r="D12" s="177" t="s">
        <v>11</v>
      </c>
      <c r="E12" s="177" t="s">
        <v>10</v>
      </c>
      <c r="F12" s="178" t="s">
        <v>9</v>
      </c>
    </row>
    <row r="13" spans="1:6" ht="15.75" thickBot="1" x14ac:dyDescent="0.3">
      <c r="A13" s="3"/>
      <c r="B13" s="2"/>
      <c r="C13" s="2"/>
      <c r="D13" s="2"/>
      <c r="E13" s="2"/>
      <c r="F13" s="1"/>
    </row>
    <row r="14" spans="1:6" ht="19.5" thickBot="1" x14ac:dyDescent="0.35">
      <c r="A14" s="44">
        <v>1</v>
      </c>
      <c r="B14" s="41" t="s">
        <v>36</v>
      </c>
      <c r="C14" s="171"/>
      <c r="D14" s="172">
        <v>26</v>
      </c>
      <c r="E14" s="173">
        <v>30</v>
      </c>
      <c r="F14" s="133">
        <f>+D14*E14</f>
        <v>780</v>
      </c>
    </row>
    <row r="15" spans="1:6" x14ac:dyDescent="0.25">
      <c r="A15" s="23"/>
      <c r="B15" s="38"/>
      <c r="C15" s="38"/>
      <c r="D15" s="37"/>
      <c r="E15" s="37"/>
      <c r="F15" s="23"/>
    </row>
    <row r="16" spans="1:6" x14ac:dyDescent="0.25">
      <c r="A16" s="23"/>
      <c r="B16" s="38"/>
      <c r="C16" s="38"/>
      <c r="D16" s="37"/>
      <c r="E16" s="37"/>
      <c r="F16" s="23"/>
    </row>
    <row r="17" spans="1:6" x14ac:dyDescent="0.25">
      <c r="A17" s="23"/>
      <c r="B17" s="38"/>
      <c r="C17" s="38"/>
      <c r="D17" s="37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 t="s">
        <v>30</v>
      </c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ht="18.75" x14ac:dyDescent="0.3">
      <c r="A22" s="23"/>
      <c r="B22" s="11"/>
      <c r="C22" s="38"/>
      <c r="D22" s="37"/>
      <c r="E22" s="37"/>
      <c r="F22" s="23"/>
    </row>
    <row r="23" spans="1:6" ht="19.5" thickBot="1" x14ac:dyDescent="0.35">
      <c r="A23" s="136"/>
      <c r="B23" s="71"/>
      <c r="C23" s="71"/>
      <c r="D23" s="154"/>
      <c r="E23" s="37"/>
      <c r="F23" s="70">
        <f>SUM(F12:F22)</f>
        <v>780</v>
      </c>
    </row>
    <row r="24" spans="1:6" ht="19.5" thickBot="1" x14ac:dyDescent="0.35">
      <c r="A24" s="168"/>
      <c r="B24" s="11" t="s">
        <v>33</v>
      </c>
      <c r="C24" s="24"/>
      <c r="D24" s="220" t="s">
        <v>133</v>
      </c>
      <c r="E24" s="68"/>
      <c r="F24" s="67">
        <f>F23*2.5/100</f>
        <v>19.5</v>
      </c>
    </row>
    <row r="25" spans="1:6" ht="19.5" thickBot="1" x14ac:dyDescent="0.35">
      <c r="A25" s="41"/>
      <c r="B25" s="43" t="s">
        <v>32</v>
      </c>
      <c r="C25" s="41"/>
      <c r="D25" s="221" t="s">
        <v>133</v>
      </c>
      <c r="E25" s="41"/>
      <c r="F25" s="65">
        <f>F23*2.5/100</f>
        <v>19.5</v>
      </c>
    </row>
    <row r="26" spans="1:6" ht="15.75" thickBot="1" x14ac:dyDescent="0.3">
      <c r="A26" s="21"/>
      <c r="B26" s="63"/>
      <c r="C26" s="21"/>
      <c r="D26" s="63"/>
      <c r="E26" s="21"/>
      <c r="F26" s="21"/>
    </row>
    <row r="27" spans="1:6" ht="19.5" thickBot="1" x14ac:dyDescent="0.35">
      <c r="A27" s="19" t="s">
        <v>6</v>
      </c>
      <c r="B27" s="18"/>
      <c r="C27" s="17"/>
      <c r="D27" s="17"/>
      <c r="E27" s="17"/>
      <c r="F27" s="33">
        <f>F23+F24+F25</f>
        <v>819</v>
      </c>
    </row>
    <row r="28" spans="1:6" ht="19.5" thickBot="1" x14ac:dyDescent="0.35">
      <c r="A28" s="19"/>
      <c r="B28" s="18"/>
      <c r="C28" s="17"/>
      <c r="D28" s="17"/>
      <c r="E28" s="17"/>
      <c r="F28" s="16"/>
    </row>
    <row r="29" spans="1:6" ht="16.5" thickBot="1" x14ac:dyDescent="0.3">
      <c r="A29" s="60" t="s">
        <v>178</v>
      </c>
      <c r="B29" s="59"/>
      <c r="C29" s="59"/>
      <c r="D29" s="58"/>
      <c r="E29" s="58"/>
      <c r="F29" s="57"/>
    </row>
    <row r="30" spans="1:6" ht="18.75" x14ac:dyDescent="0.3">
      <c r="A30" s="10" t="s">
        <v>5</v>
      </c>
      <c r="B30" s="11"/>
      <c r="C30" s="11"/>
      <c r="D30" s="10" t="s">
        <v>4</v>
      </c>
      <c r="E30" s="9"/>
      <c r="F30" s="8"/>
    </row>
    <row r="31" spans="1:6" ht="18.75" x14ac:dyDescent="0.3">
      <c r="A31" s="10" t="s">
        <v>3</v>
      </c>
      <c r="B31" s="11"/>
      <c r="C31" s="11"/>
      <c r="D31" s="10"/>
      <c r="E31" s="9"/>
      <c r="F31" s="8"/>
    </row>
    <row r="32" spans="1:6" ht="18.75" x14ac:dyDescent="0.3">
      <c r="A32" s="10" t="s">
        <v>2</v>
      </c>
      <c r="B32" s="11"/>
      <c r="C32" s="11"/>
      <c r="D32" s="10"/>
      <c r="E32" s="9"/>
      <c r="F32" s="8"/>
    </row>
    <row r="33" spans="1:6" ht="18.75" x14ac:dyDescent="0.3">
      <c r="A33" s="10" t="s">
        <v>1</v>
      </c>
      <c r="B33" s="11"/>
      <c r="C33" s="11"/>
      <c r="D33" s="10"/>
      <c r="E33" s="9"/>
      <c r="F33" s="8"/>
    </row>
    <row r="34" spans="1:6" ht="19.5" thickBot="1" x14ac:dyDescent="0.35">
      <c r="A34" s="6"/>
      <c r="B34" s="7"/>
      <c r="C34" s="7"/>
      <c r="D34" s="6" t="s">
        <v>0</v>
      </c>
      <c r="E34" s="5"/>
      <c r="F34" s="4"/>
    </row>
    <row r="35" spans="1:6" ht="15.75" thickBot="1" x14ac:dyDescent="0.3">
      <c r="A35" s="3"/>
      <c r="B35" s="2"/>
      <c r="C35" s="2"/>
      <c r="D35" s="2"/>
      <c r="E35" s="2"/>
      <c r="F35" s="1"/>
    </row>
  </sheetData>
  <mergeCells count="5">
    <mergeCell ref="A6:C6"/>
    <mergeCell ref="A7:C7"/>
    <mergeCell ref="A8:C8"/>
    <mergeCell ref="A9:C9"/>
    <mergeCell ref="A11:C11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E6" sqref="E6"/>
    </sheetView>
  </sheetViews>
  <sheetFormatPr defaultRowHeight="15" x14ac:dyDescent="0.25"/>
  <cols>
    <col min="1" max="1" width="7.7109375" customWidth="1"/>
    <col min="2" max="2" width="25.140625" customWidth="1"/>
    <col min="3" max="3" width="10.5703125" customWidth="1"/>
    <col min="4" max="4" width="11.5703125" customWidth="1"/>
    <col min="5" max="5" width="11.42578125" customWidth="1"/>
    <col min="6" max="6" width="17.85546875" customWidth="1"/>
  </cols>
  <sheetData>
    <row r="1" spans="1:6" ht="21.75" thickBot="1" x14ac:dyDescent="0.4">
      <c r="A1" s="169"/>
      <c r="B1" s="81" t="s">
        <v>25</v>
      </c>
      <c r="C1" s="81"/>
      <c r="D1" s="170"/>
      <c r="E1" s="74"/>
      <c r="F1" s="75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8.75" x14ac:dyDescent="0.3">
      <c r="A6" s="269" t="s">
        <v>58</v>
      </c>
      <c r="B6" s="270"/>
      <c r="C6" s="272"/>
      <c r="D6" s="11" t="s">
        <v>79</v>
      </c>
      <c r="E6" s="11" t="s">
        <v>180</v>
      </c>
      <c r="F6" s="48"/>
    </row>
    <row r="7" spans="1:6" ht="19.5" thickBot="1" x14ac:dyDescent="0.35">
      <c r="A7" s="245" t="s">
        <v>96</v>
      </c>
      <c r="B7" s="246"/>
      <c r="C7" s="247"/>
      <c r="D7" s="11"/>
      <c r="E7" s="11"/>
      <c r="F7" s="48"/>
    </row>
    <row r="8" spans="1:6" ht="19.5" thickBot="1" x14ac:dyDescent="0.35">
      <c r="A8" s="263" t="s">
        <v>97</v>
      </c>
      <c r="B8" s="264"/>
      <c r="C8" s="265"/>
      <c r="D8" s="44" t="s">
        <v>17</v>
      </c>
      <c r="E8" s="43"/>
      <c r="F8" s="42" t="s">
        <v>197</v>
      </c>
    </row>
    <row r="9" spans="1:6" ht="19.5" thickBot="1" x14ac:dyDescent="0.35">
      <c r="A9" s="263" t="s">
        <v>98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0"/>
      <c r="F10" s="39"/>
    </row>
    <row r="11" spans="1:6" ht="19.5" thickBot="1" x14ac:dyDescent="0.35">
      <c r="A11" s="273" t="s">
        <v>99</v>
      </c>
      <c r="B11" s="274"/>
      <c r="C11" s="275"/>
      <c r="D11" s="19" t="s">
        <v>38</v>
      </c>
      <c r="E11" s="38"/>
      <c r="F11" s="37"/>
    </row>
    <row r="12" spans="1:6" x14ac:dyDescent="0.25">
      <c r="A12" s="176" t="s">
        <v>14</v>
      </c>
      <c r="B12" s="177" t="s">
        <v>13</v>
      </c>
      <c r="C12" s="177" t="s">
        <v>12</v>
      </c>
      <c r="D12" s="177" t="s">
        <v>11</v>
      </c>
      <c r="E12" s="177" t="s">
        <v>10</v>
      </c>
      <c r="F12" s="178" t="s">
        <v>9</v>
      </c>
    </row>
    <row r="13" spans="1:6" ht="15.75" thickBot="1" x14ac:dyDescent="0.3">
      <c r="A13" s="3"/>
      <c r="B13" s="2"/>
      <c r="C13" s="2"/>
      <c r="D13" s="2"/>
      <c r="E13" s="2"/>
      <c r="F13" s="1"/>
    </row>
    <row r="14" spans="1:6" ht="19.5" thickBot="1" x14ac:dyDescent="0.35">
      <c r="A14" s="44">
        <v>1</v>
      </c>
      <c r="B14" s="41" t="s">
        <v>36</v>
      </c>
      <c r="C14" s="171"/>
      <c r="D14" s="172">
        <v>102</v>
      </c>
      <c r="E14" s="173">
        <v>30</v>
      </c>
      <c r="F14" s="133">
        <f>+D14*E14</f>
        <v>3060</v>
      </c>
    </row>
    <row r="15" spans="1:6" x14ac:dyDescent="0.25">
      <c r="A15" s="23"/>
      <c r="B15" s="38"/>
      <c r="C15" s="38"/>
      <c r="D15" s="37"/>
      <c r="E15" s="37"/>
      <c r="F15" s="23"/>
    </row>
    <row r="16" spans="1:6" x14ac:dyDescent="0.25">
      <c r="A16" s="23"/>
      <c r="B16" s="38"/>
      <c r="C16" s="38"/>
      <c r="D16" s="37"/>
      <c r="E16" s="37"/>
      <c r="F16" s="23"/>
    </row>
    <row r="17" spans="1:6" x14ac:dyDescent="0.25">
      <c r="A17" s="23"/>
      <c r="B17" s="38"/>
      <c r="C17" s="38"/>
      <c r="D17" s="37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 t="s">
        <v>30</v>
      </c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ht="18.75" x14ac:dyDescent="0.3">
      <c r="A22" s="23"/>
      <c r="B22" s="11"/>
      <c r="C22" s="38"/>
      <c r="D22" s="37"/>
      <c r="E22" s="37"/>
      <c r="F22" s="23"/>
    </row>
    <row r="23" spans="1:6" ht="19.5" thickBot="1" x14ac:dyDescent="0.35">
      <c r="A23" s="136"/>
      <c r="B23" s="71"/>
      <c r="C23" s="71"/>
      <c r="D23" s="154"/>
      <c r="E23" s="37"/>
      <c r="F23" s="70">
        <f>SUM(F12:F22)</f>
        <v>3060</v>
      </c>
    </row>
    <row r="24" spans="1:6" ht="19.5" thickBot="1" x14ac:dyDescent="0.35">
      <c r="A24" s="168"/>
      <c r="B24" s="11" t="s">
        <v>33</v>
      </c>
      <c r="C24" s="24"/>
      <c r="D24" s="220" t="s">
        <v>133</v>
      </c>
      <c r="E24" s="68"/>
      <c r="F24" s="67">
        <f>F23*2.5/100</f>
        <v>76.5</v>
      </c>
    </row>
    <row r="25" spans="1:6" ht="19.5" thickBot="1" x14ac:dyDescent="0.35">
      <c r="A25" s="41"/>
      <c r="B25" s="43" t="s">
        <v>32</v>
      </c>
      <c r="C25" s="41"/>
      <c r="D25" s="221" t="s">
        <v>133</v>
      </c>
      <c r="E25" s="41"/>
      <c r="F25" s="65">
        <f>F23*2.5/100</f>
        <v>76.5</v>
      </c>
    </row>
    <row r="26" spans="1:6" ht="15.75" thickBot="1" x14ac:dyDescent="0.3">
      <c r="A26" s="21"/>
      <c r="B26" s="63"/>
      <c r="C26" s="21"/>
      <c r="D26" s="63"/>
      <c r="E26" s="21"/>
      <c r="F26" s="21"/>
    </row>
    <row r="27" spans="1:6" ht="19.5" thickBot="1" x14ac:dyDescent="0.35">
      <c r="A27" s="19" t="s">
        <v>6</v>
      </c>
      <c r="B27" s="18"/>
      <c r="C27" s="17"/>
      <c r="D27" s="17"/>
      <c r="E27" s="17"/>
      <c r="F27" s="33">
        <f>F23+F24+F25</f>
        <v>3213</v>
      </c>
    </row>
    <row r="28" spans="1:6" ht="19.5" thickBot="1" x14ac:dyDescent="0.35">
      <c r="A28" s="19"/>
      <c r="B28" s="18"/>
      <c r="C28" s="17"/>
      <c r="D28" s="17"/>
      <c r="E28" s="17"/>
      <c r="F28" s="16"/>
    </row>
    <row r="29" spans="1:6" ht="16.5" thickBot="1" x14ac:dyDescent="0.3">
      <c r="A29" s="60" t="s">
        <v>198</v>
      </c>
      <c r="B29" s="59"/>
      <c r="C29" s="59"/>
      <c r="D29" s="58"/>
      <c r="E29" s="58"/>
      <c r="F29" s="57"/>
    </row>
    <row r="30" spans="1:6" ht="18.75" x14ac:dyDescent="0.3">
      <c r="A30" s="10" t="s">
        <v>5</v>
      </c>
      <c r="B30" s="11"/>
      <c r="C30" s="11"/>
      <c r="D30" s="10" t="s">
        <v>4</v>
      </c>
      <c r="E30" s="9"/>
      <c r="F30" s="8"/>
    </row>
    <row r="31" spans="1:6" ht="18.75" x14ac:dyDescent="0.3">
      <c r="A31" s="10" t="s">
        <v>3</v>
      </c>
      <c r="B31" s="11"/>
      <c r="C31" s="11"/>
      <c r="D31" s="10"/>
      <c r="E31" s="9"/>
      <c r="F31" s="8"/>
    </row>
    <row r="32" spans="1:6" ht="18.75" x14ac:dyDescent="0.3">
      <c r="A32" s="10" t="s">
        <v>2</v>
      </c>
      <c r="B32" s="11"/>
      <c r="C32" s="11"/>
      <c r="D32" s="10"/>
      <c r="E32" s="9"/>
      <c r="F32" s="8"/>
    </row>
    <row r="33" spans="1:6" ht="18.75" x14ac:dyDescent="0.3">
      <c r="A33" s="10" t="s">
        <v>1</v>
      </c>
      <c r="B33" s="11"/>
      <c r="C33" s="11"/>
      <c r="D33" s="10"/>
      <c r="E33" s="9"/>
      <c r="F33" s="8"/>
    </row>
    <row r="34" spans="1:6" ht="19.5" thickBot="1" x14ac:dyDescent="0.35">
      <c r="A34" s="6"/>
      <c r="B34" s="7"/>
      <c r="C34" s="7"/>
      <c r="D34" s="6" t="s">
        <v>0</v>
      </c>
      <c r="E34" s="5"/>
      <c r="F34" s="4"/>
    </row>
    <row r="35" spans="1:6" ht="15.75" thickBot="1" x14ac:dyDescent="0.3">
      <c r="A35" s="3"/>
      <c r="B35" s="2"/>
      <c r="C35" s="2"/>
      <c r="D35" s="2"/>
      <c r="E35" s="2"/>
      <c r="F35" s="1"/>
    </row>
  </sheetData>
  <mergeCells count="5">
    <mergeCell ref="A6:C6"/>
    <mergeCell ref="A7:C7"/>
    <mergeCell ref="A8:C8"/>
    <mergeCell ref="A9:C9"/>
    <mergeCell ref="A11:C11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C17" sqref="C17"/>
    </sheetView>
  </sheetViews>
  <sheetFormatPr defaultRowHeight="15" x14ac:dyDescent="0.25"/>
  <cols>
    <col min="1" max="1" width="7.140625" customWidth="1"/>
    <col min="2" max="2" width="25.140625" customWidth="1"/>
    <col min="3" max="3" width="12.140625" customWidth="1"/>
    <col min="4" max="4" width="11.7109375" customWidth="1"/>
    <col min="5" max="5" width="11.85546875" customWidth="1"/>
    <col min="6" max="6" width="19.140625" customWidth="1"/>
  </cols>
  <sheetData>
    <row r="1" spans="1:6" ht="21.75" thickBot="1" x14ac:dyDescent="0.4">
      <c r="A1" s="169"/>
      <c r="B1" s="81" t="s">
        <v>25</v>
      </c>
      <c r="C1" s="81"/>
      <c r="D1" s="170"/>
      <c r="E1" s="74"/>
      <c r="F1" s="75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8.75" x14ac:dyDescent="0.3">
      <c r="A6" s="269" t="s">
        <v>58</v>
      </c>
      <c r="B6" s="270"/>
      <c r="C6" s="272"/>
      <c r="D6" s="11" t="s">
        <v>79</v>
      </c>
      <c r="E6" s="11" t="s">
        <v>180</v>
      </c>
      <c r="F6" s="48"/>
    </row>
    <row r="7" spans="1:6" ht="19.5" thickBot="1" x14ac:dyDescent="0.35">
      <c r="A7" s="245" t="s">
        <v>83</v>
      </c>
      <c r="B7" s="246"/>
      <c r="C7" s="247"/>
      <c r="D7" s="11"/>
      <c r="E7" s="11"/>
      <c r="F7" s="48"/>
    </row>
    <row r="8" spans="1:6" ht="19.5" thickBot="1" x14ac:dyDescent="0.35">
      <c r="A8" s="263" t="s">
        <v>121</v>
      </c>
      <c r="B8" s="264"/>
      <c r="C8" s="265"/>
      <c r="D8" s="44" t="s">
        <v>17</v>
      </c>
      <c r="E8" s="43"/>
      <c r="F8" s="42" t="s">
        <v>199</v>
      </c>
    </row>
    <row r="9" spans="1:6" ht="19.5" thickBot="1" x14ac:dyDescent="0.35">
      <c r="A9" s="263" t="s">
        <v>81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0"/>
      <c r="F10" s="39"/>
    </row>
    <row r="11" spans="1:6" ht="19.5" thickBot="1" x14ac:dyDescent="0.35">
      <c r="A11" s="273" t="s">
        <v>80</v>
      </c>
      <c r="B11" s="274"/>
      <c r="C11" s="275"/>
      <c r="D11" s="19" t="s">
        <v>38</v>
      </c>
      <c r="E11" s="38"/>
      <c r="F11" s="37"/>
    </row>
    <row r="12" spans="1:6" x14ac:dyDescent="0.25">
      <c r="A12" s="176" t="s">
        <v>14</v>
      </c>
      <c r="B12" s="177" t="s">
        <v>13</v>
      </c>
      <c r="C12" s="177" t="s">
        <v>12</v>
      </c>
      <c r="D12" s="177" t="s">
        <v>11</v>
      </c>
      <c r="E12" s="177" t="s">
        <v>10</v>
      </c>
      <c r="F12" s="178" t="s">
        <v>9</v>
      </c>
    </row>
    <row r="13" spans="1:6" ht="15.75" thickBot="1" x14ac:dyDescent="0.3">
      <c r="A13" s="3"/>
      <c r="B13" s="213"/>
      <c r="C13" s="213"/>
      <c r="D13" s="2"/>
      <c r="E13" s="2"/>
      <c r="F13" s="1"/>
    </row>
    <row r="14" spans="1:6" ht="19.5" thickBot="1" x14ac:dyDescent="0.35">
      <c r="A14" s="44">
        <v>1</v>
      </c>
      <c r="B14" s="41" t="s">
        <v>36</v>
      </c>
      <c r="C14" s="171"/>
      <c r="D14" s="172">
        <v>72</v>
      </c>
      <c r="E14" s="173">
        <v>30</v>
      </c>
      <c r="F14" s="133">
        <f>+D14*E14</f>
        <v>2160</v>
      </c>
    </row>
    <row r="15" spans="1:6" x14ac:dyDescent="0.25">
      <c r="A15" s="23"/>
      <c r="B15" s="38"/>
      <c r="C15" s="38"/>
      <c r="D15" s="37"/>
      <c r="E15" s="37"/>
      <c r="F15" s="23"/>
    </row>
    <row r="16" spans="1:6" x14ac:dyDescent="0.25">
      <c r="A16" s="23"/>
      <c r="B16" s="38"/>
      <c r="C16" s="38"/>
      <c r="D16" s="37"/>
      <c r="E16" s="37"/>
      <c r="F16" s="23"/>
    </row>
    <row r="17" spans="1:6" x14ac:dyDescent="0.25">
      <c r="A17" s="23"/>
      <c r="B17" s="38"/>
      <c r="C17" s="38"/>
      <c r="D17" s="37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 t="s">
        <v>30</v>
      </c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ht="18.75" x14ac:dyDescent="0.3">
      <c r="A22" s="23"/>
      <c r="B22" s="11"/>
      <c r="C22" s="38"/>
      <c r="D22" s="37"/>
      <c r="E22" s="37"/>
      <c r="F22" s="23"/>
    </row>
    <row r="23" spans="1:6" ht="19.5" thickBot="1" x14ac:dyDescent="0.35">
      <c r="A23" s="136"/>
      <c r="B23" s="71"/>
      <c r="C23" s="71"/>
      <c r="D23" s="154"/>
      <c r="E23" s="37"/>
      <c r="F23" s="70">
        <f>SUM(F12:F22)</f>
        <v>2160</v>
      </c>
    </row>
    <row r="24" spans="1:6" ht="19.5" thickBot="1" x14ac:dyDescent="0.35">
      <c r="A24" s="168"/>
      <c r="B24" s="11" t="s">
        <v>33</v>
      </c>
      <c r="C24" s="24"/>
      <c r="D24" s="220" t="s">
        <v>133</v>
      </c>
      <c r="E24" s="68"/>
      <c r="F24" s="67">
        <f>F23*2.5/100</f>
        <v>54</v>
      </c>
    </row>
    <row r="25" spans="1:6" ht="19.5" thickBot="1" x14ac:dyDescent="0.35">
      <c r="A25" s="41"/>
      <c r="B25" s="43" t="s">
        <v>32</v>
      </c>
      <c r="C25" s="41"/>
      <c r="D25" s="221" t="s">
        <v>133</v>
      </c>
      <c r="E25" s="41"/>
      <c r="F25" s="65">
        <f>F23*2.5/100</f>
        <v>54</v>
      </c>
    </row>
    <row r="26" spans="1:6" ht="15.75" thickBot="1" x14ac:dyDescent="0.3">
      <c r="A26" s="21"/>
      <c r="B26" s="63"/>
      <c r="C26" s="21"/>
      <c r="D26" s="63"/>
      <c r="E26" s="21"/>
      <c r="F26" s="21"/>
    </row>
    <row r="27" spans="1:6" ht="19.5" thickBot="1" x14ac:dyDescent="0.35">
      <c r="A27" s="19" t="s">
        <v>6</v>
      </c>
      <c r="B27" s="18"/>
      <c r="C27" s="17"/>
      <c r="D27" s="17"/>
      <c r="E27" s="17"/>
      <c r="F27" s="33">
        <f>F23+F24+F25</f>
        <v>2268</v>
      </c>
    </row>
    <row r="28" spans="1:6" ht="19.5" thickBot="1" x14ac:dyDescent="0.35">
      <c r="A28" s="19"/>
      <c r="B28" s="18"/>
      <c r="C28" s="17"/>
      <c r="D28" s="17"/>
      <c r="E28" s="17"/>
      <c r="F28" s="16"/>
    </row>
    <row r="29" spans="1:6" ht="16.5" thickBot="1" x14ac:dyDescent="0.3">
      <c r="A29" s="60" t="s">
        <v>190</v>
      </c>
      <c r="B29" s="59"/>
      <c r="C29" s="59"/>
      <c r="D29" s="58"/>
      <c r="E29" s="58"/>
      <c r="F29" s="57"/>
    </row>
    <row r="30" spans="1:6" ht="18.75" x14ac:dyDescent="0.3">
      <c r="A30" s="10" t="s">
        <v>5</v>
      </c>
      <c r="B30" s="11"/>
      <c r="C30" s="11"/>
      <c r="D30" s="10" t="s">
        <v>4</v>
      </c>
      <c r="E30" s="9"/>
      <c r="F30" s="8"/>
    </row>
    <row r="31" spans="1:6" ht="18.75" x14ac:dyDescent="0.3">
      <c r="A31" s="10" t="s">
        <v>3</v>
      </c>
      <c r="B31" s="11"/>
      <c r="C31" s="11"/>
      <c r="D31" s="10"/>
      <c r="E31" s="9"/>
      <c r="F31" s="8"/>
    </row>
    <row r="32" spans="1:6" ht="18.75" x14ac:dyDescent="0.3">
      <c r="A32" s="10" t="s">
        <v>2</v>
      </c>
      <c r="B32" s="11"/>
      <c r="C32" s="11"/>
      <c r="D32" s="10"/>
      <c r="E32" s="9"/>
      <c r="F32" s="8"/>
    </row>
    <row r="33" spans="1:6" ht="18.75" x14ac:dyDescent="0.3">
      <c r="A33" s="10" t="s">
        <v>1</v>
      </c>
      <c r="B33" s="11"/>
      <c r="C33" s="11"/>
      <c r="D33" s="10"/>
      <c r="E33" s="9"/>
      <c r="F33" s="8"/>
    </row>
    <row r="34" spans="1:6" ht="19.5" thickBot="1" x14ac:dyDescent="0.35">
      <c r="A34" s="6"/>
      <c r="B34" s="7"/>
      <c r="C34" s="7"/>
      <c r="D34" s="6" t="s">
        <v>0</v>
      </c>
      <c r="E34" s="5"/>
      <c r="F34" s="4"/>
    </row>
    <row r="35" spans="1:6" ht="15.75" thickBot="1" x14ac:dyDescent="0.3">
      <c r="A35" s="3"/>
      <c r="B35" s="2"/>
      <c r="C35" s="2"/>
      <c r="D35" s="2"/>
      <c r="E35" s="2"/>
      <c r="F35" s="1"/>
    </row>
  </sheetData>
  <mergeCells count="5">
    <mergeCell ref="A6:C6"/>
    <mergeCell ref="A7:C7"/>
    <mergeCell ref="A8:C8"/>
    <mergeCell ref="A9:C9"/>
    <mergeCell ref="A11:C11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A30" sqref="A30"/>
    </sheetView>
  </sheetViews>
  <sheetFormatPr defaultRowHeight="15" x14ac:dyDescent="0.25"/>
  <cols>
    <col min="1" max="1" width="7.85546875" customWidth="1"/>
    <col min="2" max="2" width="25" customWidth="1"/>
    <col min="3" max="3" width="10.7109375" customWidth="1"/>
    <col min="4" max="5" width="11.28515625" customWidth="1"/>
    <col min="6" max="6" width="19.140625" customWidth="1"/>
  </cols>
  <sheetData>
    <row r="1" spans="1:6" ht="21.75" thickBot="1" x14ac:dyDescent="0.4">
      <c r="A1" s="169"/>
      <c r="B1" s="81" t="s">
        <v>25</v>
      </c>
      <c r="C1" s="81"/>
      <c r="D1" s="170"/>
      <c r="E1" s="74"/>
      <c r="F1" s="75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8.75" x14ac:dyDescent="0.3">
      <c r="A6" s="269" t="s">
        <v>58</v>
      </c>
      <c r="B6" s="270"/>
      <c r="C6" s="272"/>
      <c r="D6" s="11" t="s">
        <v>79</v>
      </c>
      <c r="E6" s="11" t="s">
        <v>138</v>
      </c>
      <c r="F6" s="48"/>
    </row>
    <row r="7" spans="1:6" ht="19.5" thickBot="1" x14ac:dyDescent="0.35">
      <c r="A7" s="245" t="s">
        <v>83</v>
      </c>
      <c r="B7" s="246"/>
      <c r="C7" s="247"/>
      <c r="D7" s="11"/>
      <c r="E7" s="11"/>
      <c r="F7" s="48"/>
    </row>
    <row r="8" spans="1:6" ht="19.5" thickBot="1" x14ac:dyDescent="0.35">
      <c r="A8" s="263" t="s">
        <v>122</v>
      </c>
      <c r="B8" s="264"/>
      <c r="C8" s="265"/>
      <c r="D8" s="44" t="s">
        <v>17</v>
      </c>
      <c r="E8" s="43"/>
      <c r="F8" s="42">
        <v>135</v>
      </c>
    </row>
    <row r="9" spans="1:6" ht="19.5" thickBot="1" x14ac:dyDescent="0.35">
      <c r="A9" s="263" t="s">
        <v>81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0"/>
      <c r="F10" s="39"/>
    </row>
    <row r="11" spans="1:6" ht="19.5" thickBot="1" x14ac:dyDescent="0.35">
      <c r="A11" s="273" t="s">
        <v>80</v>
      </c>
      <c r="B11" s="274"/>
      <c r="C11" s="275"/>
      <c r="D11" s="19" t="s">
        <v>38</v>
      </c>
      <c r="E11" s="38"/>
      <c r="F11" s="37"/>
    </row>
    <row r="12" spans="1:6" x14ac:dyDescent="0.25">
      <c r="A12" s="176" t="s">
        <v>14</v>
      </c>
      <c r="B12" s="177" t="s">
        <v>13</v>
      </c>
      <c r="C12" s="177" t="s">
        <v>12</v>
      </c>
      <c r="D12" s="177" t="s">
        <v>11</v>
      </c>
      <c r="E12" s="177" t="s">
        <v>10</v>
      </c>
      <c r="F12" s="178" t="s">
        <v>9</v>
      </c>
    </row>
    <row r="13" spans="1:6" ht="15.75" thickBot="1" x14ac:dyDescent="0.3">
      <c r="A13" s="3"/>
      <c r="B13" s="213"/>
      <c r="C13" s="213"/>
      <c r="D13" s="2"/>
      <c r="E13" s="2"/>
      <c r="F13" s="1"/>
    </row>
    <row r="14" spans="1:6" ht="19.5" thickBot="1" x14ac:dyDescent="0.35">
      <c r="A14" s="44">
        <v>1</v>
      </c>
      <c r="B14" s="41" t="s">
        <v>36</v>
      </c>
      <c r="C14" s="171"/>
      <c r="D14" s="172">
        <v>13</v>
      </c>
      <c r="E14" s="173">
        <v>30</v>
      </c>
      <c r="F14" s="133">
        <f>+D14*E14</f>
        <v>390</v>
      </c>
    </row>
    <row r="15" spans="1:6" x14ac:dyDescent="0.25">
      <c r="A15" s="23"/>
      <c r="B15" s="38"/>
      <c r="C15" s="38"/>
      <c r="D15" s="37"/>
      <c r="E15" s="37"/>
      <c r="F15" s="23"/>
    </row>
    <row r="16" spans="1:6" x14ac:dyDescent="0.25">
      <c r="A16" s="23"/>
      <c r="B16" s="38"/>
      <c r="C16" s="38"/>
      <c r="D16" s="37"/>
      <c r="E16" s="37"/>
      <c r="F16" s="23"/>
    </row>
    <row r="17" spans="1:6" x14ac:dyDescent="0.25">
      <c r="A17" s="23"/>
      <c r="B17" s="38"/>
      <c r="C17" s="38"/>
      <c r="D17" s="37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 t="s">
        <v>30</v>
      </c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ht="18.75" x14ac:dyDescent="0.3">
      <c r="A22" s="23"/>
      <c r="B22" s="11"/>
      <c r="C22" s="38"/>
      <c r="D22" s="37"/>
      <c r="E22" s="37"/>
      <c r="F22" s="23"/>
    </row>
    <row r="23" spans="1:6" ht="19.5" thickBot="1" x14ac:dyDescent="0.35">
      <c r="A23" s="136"/>
      <c r="B23" s="71"/>
      <c r="C23" s="71"/>
      <c r="D23" s="154"/>
      <c r="E23" s="37"/>
      <c r="F23" s="70">
        <f>SUM(F12:F22)</f>
        <v>390</v>
      </c>
    </row>
    <row r="24" spans="1:6" ht="19.5" thickBot="1" x14ac:dyDescent="0.35">
      <c r="A24" s="168"/>
      <c r="B24" s="11" t="s">
        <v>33</v>
      </c>
      <c r="C24" s="24"/>
      <c r="D24" s="220" t="s">
        <v>133</v>
      </c>
      <c r="E24" s="68"/>
      <c r="F24" s="67">
        <f>F23*2.5/100</f>
        <v>9.75</v>
      </c>
    </row>
    <row r="25" spans="1:6" ht="19.5" thickBot="1" x14ac:dyDescent="0.35">
      <c r="A25" s="41"/>
      <c r="B25" s="43" t="s">
        <v>32</v>
      </c>
      <c r="C25" s="41"/>
      <c r="D25" s="221" t="s">
        <v>133</v>
      </c>
      <c r="E25" s="41"/>
      <c r="F25" s="65">
        <f>F23*2.5/100</f>
        <v>9.75</v>
      </c>
    </row>
    <row r="26" spans="1:6" ht="15.75" thickBot="1" x14ac:dyDescent="0.3">
      <c r="A26" s="21"/>
      <c r="B26" s="63"/>
      <c r="C26" s="21"/>
      <c r="D26" s="63"/>
      <c r="E26" s="21"/>
      <c r="F26" s="21"/>
    </row>
    <row r="27" spans="1:6" ht="19.5" thickBot="1" x14ac:dyDescent="0.35">
      <c r="A27" s="19" t="s">
        <v>6</v>
      </c>
      <c r="B27" s="18"/>
      <c r="C27" s="17"/>
      <c r="D27" s="17"/>
      <c r="E27" s="17"/>
      <c r="F27" s="33">
        <f>F23+F24+F25</f>
        <v>409.5</v>
      </c>
    </row>
    <row r="28" spans="1:6" ht="19.5" thickBot="1" x14ac:dyDescent="0.35">
      <c r="A28" s="19"/>
      <c r="B28" s="18"/>
      <c r="C28" s="17"/>
      <c r="D28" s="17"/>
      <c r="E28" s="17"/>
      <c r="F28" s="16"/>
    </row>
    <row r="29" spans="1:6" ht="16.5" thickBot="1" x14ac:dyDescent="0.3">
      <c r="A29" s="60" t="s">
        <v>139</v>
      </c>
      <c r="B29" s="59"/>
      <c r="C29" s="59"/>
      <c r="D29" s="58"/>
      <c r="E29" s="58"/>
      <c r="F29" s="57"/>
    </row>
    <row r="30" spans="1:6" ht="18.75" x14ac:dyDescent="0.3">
      <c r="A30" s="10" t="s">
        <v>5</v>
      </c>
      <c r="B30" s="11"/>
      <c r="C30" s="11"/>
      <c r="D30" s="10" t="s">
        <v>4</v>
      </c>
      <c r="E30" s="9"/>
      <c r="F30" s="8"/>
    </row>
    <row r="31" spans="1:6" ht="18.75" x14ac:dyDescent="0.3">
      <c r="A31" s="10" t="s">
        <v>3</v>
      </c>
      <c r="B31" s="11"/>
      <c r="C31" s="11"/>
      <c r="D31" s="10"/>
      <c r="E31" s="9"/>
      <c r="F31" s="8"/>
    </row>
    <row r="32" spans="1:6" ht="18.75" x14ac:dyDescent="0.3">
      <c r="A32" s="10" t="s">
        <v>2</v>
      </c>
      <c r="B32" s="11"/>
      <c r="C32" s="11"/>
      <c r="D32" s="10"/>
      <c r="E32" s="9"/>
      <c r="F32" s="8"/>
    </row>
    <row r="33" spans="1:6" ht="18.75" x14ac:dyDescent="0.3">
      <c r="A33" s="10" t="s">
        <v>1</v>
      </c>
      <c r="B33" s="11"/>
      <c r="C33" s="11"/>
      <c r="D33" s="10"/>
      <c r="E33" s="9"/>
      <c r="F33" s="8"/>
    </row>
    <row r="34" spans="1:6" ht="19.5" thickBot="1" x14ac:dyDescent="0.35">
      <c r="A34" s="6"/>
      <c r="B34" s="7"/>
      <c r="C34" s="7"/>
      <c r="D34" s="6" t="s">
        <v>0</v>
      </c>
      <c r="E34" s="5"/>
      <c r="F34" s="4"/>
    </row>
    <row r="35" spans="1:6" ht="15.75" thickBot="1" x14ac:dyDescent="0.3">
      <c r="A35" s="3"/>
      <c r="B35" s="2"/>
      <c r="C35" s="2"/>
      <c r="D35" s="2"/>
      <c r="E35" s="2"/>
      <c r="F35" s="1"/>
    </row>
  </sheetData>
  <mergeCells count="5">
    <mergeCell ref="A6:C6"/>
    <mergeCell ref="A7:C7"/>
    <mergeCell ref="A8:C8"/>
    <mergeCell ref="A9:C9"/>
    <mergeCell ref="A11:C11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17" workbookViewId="0">
      <selection activeCell="A31" sqref="A31:XFD31"/>
    </sheetView>
  </sheetViews>
  <sheetFormatPr defaultRowHeight="15" x14ac:dyDescent="0.25"/>
  <cols>
    <col min="1" max="1" width="7.140625" customWidth="1"/>
    <col min="2" max="2" width="24.85546875" customWidth="1"/>
    <col min="3" max="3" width="12.5703125" customWidth="1"/>
    <col min="4" max="4" width="11.140625" customWidth="1"/>
    <col min="5" max="5" width="12.5703125" customWidth="1"/>
    <col min="6" max="6" width="18" customWidth="1"/>
  </cols>
  <sheetData>
    <row r="1" spans="1:6" ht="21.75" thickBot="1" x14ac:dyDescent="0.4">
      <c r="A1" s="55"/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21.75" thickBot="1" x14ac:dyDescent="0.4">
      <c r="A6" s="80"/>
      <c r="B6" s="81"/>
      <c r="C6" s="200" t="s">
        <v>42</v>
      </c>
      <c r="D6" s="81"/>
      <c r="E6" s="81"/>
      <c r="F6" s="82"/>
    </row>
    <row r="7" spans="1:6" ht="19.5" thickBot="1" x14ac:dyDescent="0.35">
      <c r="A7" s="242"/>
      <c r="B7" s="243"/>
      <c r="C7" s="244"/>
      <c r="D7" s="7" t="s">
        <v>20</v>
      </c>
      <c r="E7" s="7" t="s">
        <v>129</v>
      </c>
      <c r="F7" s="49"/>
    </row>
    <row r="8" spans="1:6" ht="18.75" x14ac:dyDescent="0.3">
      <c r="A8" s="263" t="s">
        <v>112</v>
      </c>
      <c r="B8" s="264"/>
      <c r="C8" s="265"/>
      <c r="D8" s="11"/>
      <c r="E8" s="11"/>
      <c r="F8" s="48"/>
    </row>
    <row r="9" spans="1:6" ht="18.75" x14ac:dyDescent="0.3">
      <c r="A9" s="263" t="s">
        <v>116</v>
      </c>
      <c r="B9" s="264"/>
      <c r="C9" s="265"/>
      <c r="D9" s="11" t="s">
        <v>17</v>
      </c>
      <c r="E9" s="11"/>
      <c r="F9" s="48">
        <v>87</v>
      </c>
    </row>
    <row r="10" spans="1:6" ht="19.5" thickBot="1" x14ac:dyDescent="0.35">
      <c r="A10" s="139" t="s">
        <v>113</v>
      </c>
      <c r="B10" s="46"/>
      <c r="C10" s="202"/>
      <c r="D10" s="11"/>
      <c r="E10" s="11"/>
      <c r="F10" s="48"/>
    </row>
    <row r="11" spans="1:6" ht="19.5" thickBot="1" x14ac:dyDescent="0.35">
      <c r="C11" s="45"/>
      <c r="D11" s="44" t="s">
        <v>38</v>
      </c>
      <c r="E11" s="43"/>
      <c r="F11" s="42"/>
    </row>
    <row r="12" spans="1:6" ht="15.75" thickBot="1" x14ac:dyDescent="0.3">
      <c r="A12" s="266" t="s">
        <v>114</v>
      </c>
      <c r="B12" s="267"/>
      <c r="C12" s="268"/>
      <c r="D12" s="38"/>
      <c r="E12" s="38"/>
      <c r="F12" s="37"/>
    </row>
    <row r="13" spans="1:6" ht="19.5" thickBot="1" x14ac:dyDescent="0.35">
      <c r="A13" s="251" t="s">
        <v>115</v>
      </c>
      <c r="B13" s="252"/>
      <c r="C13" s="253"/>
      <c r="D13" s="41" t="s">
        <v>15</v>
      </c>
      <c r="E13" s="40"/>
      <c r="F13" s="39"/>
    </row>
    <row r="14" spans="1:6" ht="15.75" thickBot="1" x14ac:dyDescent="0.3">
      <c r="A14" s="239"/>
      <c r="B14" s="240"/>
      <c r="C14" s="241"/>
      <c r="D14" s="38"/>
      <c r="E14" s="38"/>
      <c r="F14" s="37"/>
    </row>
    <row r="15" spans="1:6" ht="15.75" thickBot="1" x14ac:dyDescent="0.3">
      <c r="A15" s="35" t="s">
        <v>14</v>
      </c>
      <c r="B15" s="62" t="s">
        <v>13</v>
      </c>
      <c r="C15" s="35" t="s">
        <v>12</v>
      </c>
      <c r="D15" s="62" t="s">
        <v>11</v>
      </c>
      <c r="E15" s="35" t="s">
        <v>10</v>
      </c>
      <c r="F15" s="35" t="s">
        <v>9</v>
      </c>
    </row>
    <row r="16" spans="1:6" ht="16.5" thickBot="1" x14ac:dyDescent="0.3">
      <c r="A16" s="130"/>
      <c r="B16" s="94" t="s">
        <v>36</v>
      </c>
      <c r="C16" s="130"/>
      <c r="D16" s="113"/>
      <c r="E16" s="130"/>
      <c r="F16" s="130"/>
    </row>
    <row r="17" spans="1:6" ht="19.5" thickBot="1" x14ac:dyDescent="0.35">
      <c r="A17" s="92">
        <v>1</v>
      </c>
      <c r="B17" s="41" t="s">
        <v>36</v>
      </c>
      <c r="C17" s="92" t="s">
        <v>130</v>
      </c>
      <c r="D17" s="60">
        <v>75</v>
      </c>
      <c r="E17" s="166">
        <v>33</v>
      </c>
      <c r="F17" s="167">
        <f>+D17*E17</f>
        <v>2475</v>
      </c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/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x14ac:dyDescent="0.25">
      <c r="A22" s="23"/>
      <c r="B22" s="38"/>
      <c r="C22" s="38"/>
      <c r="D22" s="37"/>
      <c r="E22" s="37"/>
      <c r="F22" s="23"/>
    </row>
    <row r="23" spans="1:6" x14ac:dyDescent="0.25">
      <c r="A23" s="23"/>
      <c r="B23" s="38"/>
      <c r="C23" s="38"/>
      <c r="D23" s="37"/>
      <c r="E23" s="37"/>
      <c r="F23" s="23"/>
    </row>
    <row r="24" spans="1:6" x14ac:dyDescent="0.25">
      <c r="A24" s="23"/>
      <c r="B24" s="38"/>
      <c r="C24" s="38"/>
      <c r="D24" s="37"/>
      <c r="E24" s="37"/>
      <c r="F24" s="23"/>
    </row>
    <row r="25" spans="1:6" x14ac:dyDescent="0.25">
      <c r="A25" s="23"/>
      <c r="B25" s="38"/>
      <c r="C25" s="38"/>
      <c r="D25" s="37"/>
      <c r="E25" s="37" t="s">
        <v>30</v>
      </c>
      <c r="F25" s="23"/>
    </row>
    <row r="26" spans="1:6" ht="19.5" thickBot="1" x14ac:dyDescent="0.35">
      <c r="A26" s="136"/>
      <c r="B26" s="71"/>
      <c r="C26" s="71"/>
      <c r="D26" s="154"/>
      <c r="E26" s="37"/>
      <c r="F26" s="70">
        <f>SUM(F15:F25)</f>
        <v>2475</v>
      </c>
    </row>
    <row r="27" spans="1:6" ht="19.5" thickBot="1" x14ac:dyDescent="0.35">
      <c r="A27" s="168"/>
      <c r="B27" s="11" t="s">
        <v>33</v>
      </c>
      <c r="C27" s="24"/>
      <c r="D27" s="220" t="s">
        <v>133</v>
      </c>
      <c r="E27" s="68"/>
      <c r="F27" s="67">
        <f>F26*2.5/100</f>
        <v>61.875</v>
      </c>
    </row>
    <row r="28" spans="1:6" ht="19.5" thickBot="1" x14ac:dyDescent="0.35">
      <c r="A28" s="41"/>
      <c r="B28" s="43" t="s">
        <v>32</v>
      </c>
      <c r="C28" s="41"/>
      <c r="D28" s="221" t="s">
        <v>133</v>
      </c>
      <c r="E28" s="41"/>
      <c r="F28" s="65">
        <f>F26*2.5/100</f>
        <v>61.875</v>
      </c>
    </row>
    <row r="29" spans="1:6" ht="15.75" thickBot="1" x14ac:dyDescent="0.3">
      <c r="A29" s="21"/>
      <c r="B29" s="63"/>
      <c r="C29" s="21"/>
      <c r="D29" s="63"/>
      <c r="E29" s="21"/>
      <c r="F29" s="21"/>
    </row>
    <row r="30" spans="1:6" ht="19.5" thickBot="1" x14ac:dyDescent="0.35">
      <c r="A30" s="19" t="s">
        <v>6</v>
      </c>
      <c r="B30" s="18"/>
      <c r="C30" s="17"/>
      <c r="D30" s="17"/>
      <c r="E30" s="17"/>
      <c r="F30" s="33">
        <f>F26+F27+F28</f>
        <v>2598.75</v>
      </c>
    </row>
    <row r="31" spans="1:6" ht="15.75" thickBot="1" x14ac:dyDescent="0.3">
      <c r="A31" s="126" t="s">
        <v>131</v>
      </c>
      <c r="B31" s="127"/>
      <c r="C31" s="127"/>
      <c r="D31" s="127"/>
      <c r="E31" s="127"/>
      <c r="F31" s="132"/>
    </row>
    <row r="32" spans="1:6" ht="15.75" x14ac:dyDescent="0.25">
      <c r="A32" s="95"/>
      <c r="B32" s="94"/>
      <c r="C32" s="117"/>
      <c r="D32" s="95" t="s">
        <v>4</v>
      </c>
      <c r="E32" s="114"/>
      <c r="F32" s="115"/>
    </row>
    <row r="33" spans="1:6" ht="15.75" x14ac:dyDescent="0.25">
      <c r="A33" s="116" t="s">
        <v>43</v>
      </c>
      <c r="B33" s="94"/>
      <c r="C33" s="117"/>
      <c r="D33" s="95"/>
      <c r="E33" s="114"/>
      <c r="F33" s="115"/>
    </row>
    <row r="34" spans="1:6" ht="15.75" x14ac:dyDescent="0.25">
      <c r="A34" s="95" t="s">
        <v>52</v>
      </c>
      <c r="B34" s="94"/>
      <c r="C34" s="117"/>
      <c r="D34" s="95"/>
      <c r="E34" s="114"/>
      <c r="F34" s="115"/>
    </row>
    <row r="35" spans="1:6" ht="15.75" x14ac:dyDescent="0.25">
      <c r="A35" s="95" t="s">
        <v>53</v>
      </c>
      <c r="B35" s="94"/>
      <c r="C35" s="117"/>
      <c r="D35" s="95"/>
      <c r="E35" s="114"/>
      <c r="F35" s="115"/>
    </row>
    <row r="36" spans="1:6" ht="16.5" thickBot="1" x14ac:dyDescent="0.3">
      <c r="A36" s="118"/>
      <c r="B36" s="119"/>
      <c r="C36" s="120"/>
      <c r="D36" s="118" t="s">
        <v>0</v>
      </c>
      <c r="E36" s="121"/>
      <c r="F36" s="122"/>
    </row>
    <row r="37" spans="1:6" ht="16.5" thickBot="1" x14ac:dyDescent="0.3">
      <c r="A37" s="123"/>
      <c r="B37" s="124"/>
      <c r="C37" s="124"/>
      <c r="D37" s="124"/>
      <c r="E37" s="124"/>
      <c r="F37" s="125"/>
    </row>
  </sheetData>
  <mergeCells count="6">
    <mergeCell ref="A14:C14"/>
    <mergeCell ref="A7:C7"/>
    <mergeCell ref="A8:C8"/>
    <mergeCell ref="A9:C9"/>
    <mergeCell ref="A12:C12"/>
    <mergeCell ref="A13:C13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A32" sqref="A32"/>
    </sheetView>
  </sheetViews>
  <sheetFormatPr defaultRowHeight="15" x14ac:dyDescent="0.25"/>
  <cols>
    <col min="1" max="1" width="5.85546875" customWidth="1"/>
    <col min="2" max="2" width="26" customWidth="1"/>
    <col min="3" max="3" width="13.42578125" customWidth="1"/>
    <col min="4" max="4" width="11.7109375" customWidth="1"/>
    <col min="5" max="5" width="11.140625" customWidth="1"/>
    <col min="6" max="6" width="17.140625" customWidth="1"/>
  </cols>
  <sheetData>
    <row r="1" spans="1:6" ht="21.75" thickBot="1" x14ac:dyDescent="0.4">
      <c r="A1" s="55"/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9.5" thickBot="1" x14ac:dyDescent="0.35">
      <c r="A6" s="242" t="s">
        <v>41</v>
      </c>
      <c r="B6" s="243"/>
      <c r="C6" s="244"/>
      <c r="D6" s="7" t="s">
        <v>20</v>
      </c>
      <c r="E6" s="7" t="s">
        <v>206</v>
      </c>
      <c r="F6" s="49"/>
    </row>
    <row r="7" spans="1:6" ht="18.75" x14ac:dyDescent="0.3">
      <c r="A7" s="263" t="s">
        <v>104</v>
      </c>
      <c r="B7" s="264"/>
      <c r="C7" s="265"/>
      <c r="D7" s="11"/>
      <c r="E7" s="11"/>
      <c r="F7" s="48"/>
    </row>
    <row r="8" spans="1:6" ht="18.75" x14ac:dyDescent="0.3">
      <c r="A8" s="263" t="s">
        <v>105</v>
      </c>
      <c r="B8" s="264"/>
      <c r="C8" s="265"/>
      <c r="D8" s="11" t="s">
        <v>17</v>
      </c>
      <c r="E8" s="11"/>
      <c r="F8" s="48" t="s">
        <v>210</v>
      </c>
    </row>
    <row r="9" spans="1:6" ht="19.5" thickBot="1" x14ac:dyDescent="0.35">
      <c r="A9" s="263" t="s">
        <v>106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3"/>
      <c r="F10" s="42"/>
    </row>
    <row r="11" spans="1:6" ht="15.75" thickBot="1" x14ac:dyDescent="0.3">
      <c r="A11" s="266" t="s">
        <v>107</v>
      </c>
      <c r="B11" s="267"/>
      <c r="C11" s="268"/>
      <c r="D11" s="38"/>
      <c r="E11" s="38"/>
      <c r="F11" s="37"/>
    </row>
    <row r="12" spans="1:6" ht="19.5" thickBot="1" x14ac:dyDescent="0.35">
      <c r="A12" s="254"/>
      <c r="B12" s="255"/>
      <c r="C12" s="256"/>
      <c r="D12" s="44" t="s">
        <v>38</v>
      </c>
      <c r="E12" s="40"/>
      <c r="F12" s="39"/>
    </row>
    <row r="13" spans="1:6" ht="15.75" thickBot="1" x14ac:dyDescent="0.3">
      <c r="A13" s="239"/>
      <c r="B13" s="240"/>
      <c r="C13" s="241"/>
      <c r="D13" s="38"/>
      <c r="E13" s="38"/>
      <c r="F13" s="37"/>
    </row>
    <row r="14" spans="1:6" ht="15.75" thickBot="1" x14ac:dyDescent="0.3">
      <c r="A14" s="35" t="s">
        <v>14</v>
      </c>
      <c r="B14" s="62" t="s">
        <v>13</v>
      </c>
      <c r="C14" s="35" t="s">
        <v>12</v>
      </c>
      <c r="D14" s="62" t="s">
        <v>11</v>
      </c>
      <c r="E14" s="35" t="s">
        <v>10</v>
      </c>
      <c r="F14" s="35" t="s">
        <v>9</v>
      </c>
    </row>
    <row r="15" spans="1:6" ht="19.5" thickBot="1" x14ac:dyDescent="0.35">
      <c r="A15" s="32"/>
      <c r="B15" s="69"/>
      <c r="C15" s="32"/>
      <c r="D15" s="72"/>
      <c r="E15" s="32"/>
      <c r="F15" s="32"/>
    </row>
    <row r="16" spans="1:6" ht="19.5" thickBot="1" x14ac:dyDescent="0.35">
      <c r="A16" s="68">
        <v>1</v>
      </c>
      <c r="B16" s="69" t="s">
        <v>36</v>
      </c>
      <c r="C16" s="68">
        <v>113</v>
      </c>
      <c r="D16" s="162">
        <v>153</v>
      </c>
      <c r="E16" s="214">
        <v>35</v>
      </c>
      <c r="F16" s="215">
        <f>+D16*E16</f>
        <v>5355</v>
      </c>
    </row>
    <row r="17" spans="1:6" ht="19.5" thickBot="1" x14ac:dyDescent="0.35">
      <c r="A17" s="222">
        <v>2</v>
      </c>
      <c r="B17" s="223" t="s">
        <v>128</v>
      </c>
      <c r="C17" s="223"/>
      <c r="D17" s="162">
        <v>2</v>
      </c>
      <c r="E17" s="214">
        <v>230</v>
      </c>
      <c r="F17" s="215">
        <f>+D17*E17</f>
        <v>460</v>
      </c>
    </row>
    <row r="18" spans="1:6" ht="19.5" thickBot="1" x14ac:dyDescent="0.35">
      <c r="A18" s="216"/>
      <c r="B18" s="185" t="s">
        <v>35</v>
      </c>
      <c r="C18" s="185"/>
      <c r="D18" s="217">
        <v>2</v>
      </c>
      <c r="E18" s="133">
        <v>240</v>
      </c>
      <c r="F18" s="134">
        <f>+D18*E18</f>
        <v>480</v>
      </c>
    </row>
    <row r="19" spans="1:6" x14ac:dyDescent="0.25">
      <c r="A19" s="23"/>
      <c r="B19" s="38"/>
      <c r="C19" s="38"/>
      <c r="D19" s="37"/>
      <c r="E19" s="37"/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 t="s">
        <v>30</v>
      </c>
      <c r="F21" s="23"/>
    </row>
    <row r="22" spans="1:6" x14ac:dyDescent="0.25">
      <c r="A22" s="23"/>
      <c r="B22" s="38"/>
      <c r="C22" s="38"/>
      <c r="D22" s="37"/>
      <c r="E22" s="37"/>
      <c r="F22" s="23"/>
    </row>
    <row r="23" spans="1:6" x14ac:dyDescent="0.25">
      <c r="A23" s="23"/>
      <c r="B23" s="38"/>
      <c r="C23" s="38"/>
      <c r="D23" s="37"/>
      <c r="E23" s="37"/>
      <c r="F23" s="23"/>
    </row>
    <row r="24" spans="1:6" ht="18.75" x14ac:dyDescent="0.3">
      <c r="A24" s="23"/>
      <c r="B24" s="11"/>
      <c r="C24" s="38"/>
      <c r="D24" s="37"/>
      <c r="E24" s="37"/>
      <c r="F24" s="23"/>
    </row>
    <row r="25" spans="1:6" ht="19.5" thickBot="1" x14ac:dyDescent="0.35">
      <c r="A25" s="136"/>
      <c r="B25" s="71"/>
      <c r="C25" s="71"/>
      <c r="D25" s="154"/>
      <c r="E25" s="37"/>
      <c r="F25" s="70">
        <f>SUM(F14:F24)</f>
        <v>6295</v>
      </c>
    </row>
    <row r="26" spans="1:6" ht="19.5" thickBot="1" x14ac:dyDescent="0.35">
      <c r="A26" s="168"/>
      <c r="B26" s="11" t="s">
        <v>33</v>
      </c>
      <c r="C26" s="24"/>
      <c r="D26" s="220" t="s">
        <v>133</v>
      </c>
      <c r="E26" s="68"/>
      <c r="F26" s="67">
        <f>F25*2.5/100</f>
        <v>157.375</v>
      </c>
    </row>
    <row r="27" spans="1:6" ht="19.5" thickBot="1" x14ac:dyDescent="0.35">
      <c r="A27" s="41"/>
      <c r="B27" s="43" t="s">
        <v>32</v>
      </c>
      <c r="C27" s="41"/>
      <c r="D27" s="221" t="s">
        <v>133</v>
      </c>
      <c r="E27" s="41"/>
      <c r="F27" s="65">
        <f>F25*2.5/100</f>
        <v>157.375</v>
      </c>
    </row>
    <row r="28" spans="1:6" ht="15.75" thickBot="1" x14ac:dyDescent="0.3">
      <c r="A28" s="21"/>
      <c r="B28" s="63"/>
      <c r="C28" s="21"/>
      <c r="D28" s="63"/>
      <c r="E28" s="21"/>
      <c r="F28" s="21"/>
    </row>
    <row r="29" spans="1:6" ht="19.5" thickBot="1" x14ac:dyDescent="0.35">
      <c r="A29" s="19" t="s">
        <v>6</v>
      </c>
      <c r="B29" s="18"/>
      <c r="C29" s="17"/>
      <c r="D29" s="17"/>
      <c r="E29" s="17"/>
      <c r="F29" s="33">
        <f>SUM(F25:F28)</f>
        <v>6609.75</v>
      </c>
    </row>
    <row r="30" spans="1:6" ht="19.5" thickBot="1" x14ac:dyDescent="0.35">
      <c r="A30" s="19"/>
      <c r="B30" s="18"/>
      <c r="C30" s="17"/>
      <c r="D30" s="17"/>
      <c r="E30" s="17"/>
      <c r="F30" s="16"/>
    </row>
    <row r="31" spans="1:6" ht="15.75" thickBot="1" x14ac:dyDescent="0.3">
      <c r="A31" s="73" t="s">
        <v>211</v>
      </c>
      <c r="B31" s="40"/>
      <c r="C31" s="40"/>
      <c r="D31" s="74"/>
      <c r="E31" s="74"/>
      <c r="F31" s="75"/>
    </row>
    <row r="32" spans="1:6" ht="18.75" x14ac:dyDescent="0.3">
      <c r="A32" s="10"/>
      <c r="B32" s="11"/>
      <c r="C32" s="11"/>
      <c r="D32" s="10" t="s">
        <v>4</v>
      </c>
      <c r="E32" s="9"/>
      <c r="F32" s="8"/>
    </row>
    <row r="33" spans="1:6" ht="18.75" x14ac:dyDescent="0.3">
      <c r="A33" s="10" t="s">
        <v>3</v>
      </c>
      <c r="B33" s="11"/>
      <c r="C33" s="11"/>
      <c r="D33" s="10"/>
      <c r="E33" s="9"/>
      <c r="F33" s="8"/>
    </row>
    <row r="34" spans="1:6" ht="18.75" x14ac:dyDescent="0.3">
      <c r="A34" s="10" t="s">
        <v>2</v>
      </c>
      <c r="B34" s="11"/>
      <c r="C34" s="11"/>
      <c r="D34" s="10"/>
      <c r="E34" s="9"/>
      <c r="F34" s="8"/>
    </row>
    <row r="35" spans="1:6" ht="18.75" x14ac:dyDescent="0.3">
      <c r="A35" s="10" t="s">
        <v>1</v>
      </c>
      <c r="B35" s="11"/>
      <c r="C35" s="11"/>
      <c r="D35" s="10"/>
      <c r="E35" s="9"/>
      <c r="F35" s="8"/>
    </row>
    <row r="36" spans="1:6" ht="19.5" thickBot="1" x14ac:dyDescent="0.35">
      <c r="A36" s="6"/>
      <c r="B36" s="7"/>
      <c r="C36" s="7"/>
      <c r="D36" s="6" t="s">
        <v>0</v>
      </c>
      <c r="E36" s="5"/>
      <c r="F36" s="4"/>
    </row>
    <row r="37" spans="1:6" ht="15.75" thickBot="1" x14ac:dyDescent="0.3">
      <c r="A37" s="3"/>
      <c r="B37" s="2"/>
      <c r="C37" s="2"/>
      <c r="D37" s="2"/>
      <c r="E37" s="2"/>
      <c r="F37" s="1"/>
    </row>
  </sheetData>
  <mergeCells count="7">
    <mergeCell ref="A13:C13"/>
    <mergeCell ref="A6:C6"/>
    <mergeCell ref="A7:C7"/>
    <mergeCell ref="A8:C8"/>
    <mergeCell ref="A9:C9"/>
    <mergeCell ref="A11:C11"/>
    <mergeCell ref="A12:C12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A30" sqref="A30"/>
    </sheetView>
  </sheetViews>
  <sheetFormatPr defaultRowHeight="15" x14ac:dyDescent="0.25"/>
  <cols>
    <col min="1" max="1" width="6.85546875" customWidth="1"/>
    <col min="2" max="2" width="27.140625" customWidth="1"/>
    <col min="3" max="3" width="12.7109375" customWidth="1"/>
    <col min="4" max="4" width="11.7109375" customWidth="1"/>
    <col min="5" max="5" width="11" customWidth="1"/>
    <col min="6" max="6" width="15.28515625" customWidth="1"/>
  </cols>
  <sheetData>
    <row r="1" spans="1:6" ht="21.75" thickBot="1" x14ac:dyDescent="0.4">
      <c r="A1" s="169"/>
      <c r="B1" s="81" t="s">
        <v>25</v>
      </c>
      <c r="C1" s="81"/>
      <c r="D1" s="170"/>
      <c r="E1" s="74"/>
      <c r="F1" s="75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8.75" x14ac:dyDescent="0.3">
      <c r="A6" s="269" t="s">
        <v>58</v>
      </c>
      <c r="B6" s="270"/>
      <c r="C6" s="272"/>
      <c r="D6" s="11" t="s">
        <v>79</v>
      </c>
      <c r="E6" s="11" t="s">
        <v>180</v>
      </c>
      <c r="F6" s="48"/>
    </row>
    <row r="7" spans="1:6" ht="19.5" thickBot="1" x14ac:dyDescent="0.35">
      <c r="A7" s="245" t="s">
        <v>134</v>
      </c>
      <c r="B7" s="246"/>
      <c r="C7" s="247"/>
      <c r="D7" s="11"/>
      <c r="E7" s="11"/>
      <c r="F7" s="48"/>
    </row>
    <row r="8" spans="1:6" ht="19.5" thickBot="1" x14ac:dyDescent="0.35">
      <c r="A8" s="263" t="s">
        <v>135</v>
      </c>
      <c r="B8" s="264"/>
      <c r="C8" s="265"/>
      <c r="D8" s="44" t="s">
        <v>17</v>
      </c>
      <c r="E8" s="43"/>
      <c r="F8" s="42" t="s">
        <v>187</v>
      </c>
    </row>
    <row r="9" spans="1:6" ht="19.5" thickBot="1" x14ac:dyDescent="0.35">
      <c r="A9" s="263" t="s">
        <v>136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0"/>
      <c r="F10" s="39"/>
    </row>
    <row r="11" spans="1:6" ht="19.5" thickBot="1" x14ac:dyDescent="0.35">
      <c r="A11" s="273" t="s">
        <v>137</v>
      </c>
      <c r="B11" s="274"/>
      <c r="C11" s="275"/>
      <c r="D11" s="19" t="s">
        <v>38</v>
      </c>
      <c r="E11" s="38"/>
      <c r="F11" s="37"/>
    </row>
    <row r="12" spans="1:6" x14ac:dyDescent="0.25">
      <c r="A12" s="176" t="s">
        <v>14</v>
      </c>
      <c r="B12" s="177" t="s">
        <v>13</v>
      </c>
      <c r="C12" s="177" t="s">
        <v>12</v>
      </c>
      <c r="D12" s="177" t="s">
        <v>11</v>
      </c>
      <c r="E12" s="177" t="s">
        <v>10</v>
      </c>
      <c r="F12" s="178" t="s">
        <v>9</v>
      </c>
    </row>
    <row r="13" spans="1:6" ht="15.75" thickBot="1" x14ac:dyDescent="0.3">
      <c r="A13" s="3"/>
      <c r="B13" s="213"/>
      <c r="C13" s="2"/>
      <c r="D13" s="2"/>
      <c r="E13" s="2"/>
      <c r="F13" s="1"/>
    </row>
    <row r="14" spans="1:6" ht="19.5" thickBot="1" x14ac:dyDescent="0.35">
      <c r="A14" s="44">
        <v>1</v>
      </c>
      <c r="B14" s="41" t="s">
        <v>36</v>
      </c>
      <c r="C14" s="171"/>
      <c r="D14" s="172">
        <v>33</v>
      </c>
      <c r="E14" s="173">
        <v>40</v>
      </c>
      <c r="F14" s="133">
        <f>+D14*E14</f>
        <v>1320</v>
      </c>
    </row>
    <row r="15" spans="1:6" x14ac:dyDescent="0.25">
      <c r="A15" s="23"/>
      <c r="B15" s="38"/>
      <c r="C15" s="38"/>
      <c r="D15" s="37"/>
      <c r="E15" s="37"/>
      <c r="F15" s="23"/>
    </row>
    <row r="16" spans="1:6" x14ac:dyDescent="0.25">
      <c r="A16" s="23"/>
      <c r="B16" s="38"/>
      <c r="C16" s="38"/>
      <c r="D16" s="37"/>
      <c r="E16" s="37"/>
      <c r="F16" s="23"/>
    </row>
    <row r="17" spans="1:6" x14ac:dyDescent="0.25">
      <c r="A17" s="23"/>
      <c r="B17" s="38"/>
      <c r="C17" s="38"/>
      <c r="D17" s="37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 t="s">
        <v>30</v>
      </c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ht="18.75" x14ac:dyDescent="0.3">
      <c r="A22" s="23"/>
      <c r="B22" s="11"/>
      <c r="C22" s="38"/>
      <c r="D22" s="37"/>
      <c r="E22" s="37"/>
      <c r="F22" s="23"/>
    </row>
    <row r="23" spans="1:6" ht="19.5" thickBot="1" x14ac:dyDescent="0.35">
      <c r="A23" s="136"/>
      <c r="B23" s="71"/>
      <c r="C23" s="71"/>
      <c r="D23" s="154"/>
      <c r="E23" s="37"/>
      <c r="F23" s="70">
        <f>SUM(F12:F22)</f>
        <v>1320</v>
      </c>
    </row>
    <row r="24" spans="1:6" ht="19.5" thickBot="1" x14ac:dyDescent="0.35">
      <c r="A24" s="168"/>
      <c r="B24" s="11" t="s">
        <v>33</v>
      </c>
      <c r="C24" s="24"/>
      <c r="D24" s="220" t="s">
        <v>133</v>
      </c>
      <c r="E24" s="68"/>
      <c r="F24" s="67">
        <f>F23*2.5/100</f>
        <v>33</v>
      </c>
    </row>
    <row r="25" spans="1:6" ht="19.5" thickBot="1" x14ac:dyDescent="0.35">
      <c r="A25" s="41"/>
      <c r="B25" s="43" t="s">
        <v>32</v>
      </c>
      <c r="C25" s="41"/>
      <c r="D25" s="221" t="s">
        <v>133</v>
      </c>
      <c r="E25" s="41"/>
      <c r="F25" s="65">
        <f>F23*2.5/100</f>
        <v>33</v>
      </c>
    </row>
    <row r="26" spans="1:6" ht="15.75" thickBot="1" x14ac:dyDescent="0.3">
      <c r="A26" s="21"/>
      <c r="B26" s="63"/>
      <c r="C26" s="21"/>
      <c r="D26" s="63"/>
      <c r="E26" s="21"/>
      <c r="F26" s="21"/>
    </row>
    <row r="27" spans="1:6" ht="19.5" thickBot="1" x14ac:dyDescent="0.35">
      <c r="A27" s="19" t="s">
        <v>6</v>
      </c>
      <c r="B27" s="18"/>
      <c r="C27" s="17"/>
      <c r="D27" s="17"/>
      <c r="E27" s="17"/>
      <c r="F27" s="33">
        <f>F23+F24+F25</f>
        <v>1386</v>
      </c>
    </row>
    <row r="28" spans="1:6" ht="19.5" thickBot="1" x14ac:dyDescent="0.35">
      <c r="A28" s="19"/>
      <c r="B28" s="18"/>
      <c r="C28" s="17"/>
      <c r="D28" s="17"/>
      <c r="E28" s="17"/>
      <c r="F28" s="16"/>
    </row>
    <row r="29" spans="1:6" ht="16.5" thickBot="1" x14ac:dyDescent="0.3">
      <c r="A29" s="60" t="s">
        <v>188</v>
      </c>
      <c r="B29" s="59"/>
      <c r="C29" s="59"/>
      <c r="D29" s="58"/>
      <c r="E29" s="58"/>
      <c r="F29" s="57"/>
    </row>
    <row r="30" spans="1:6" ht="18.75" x14ac:dyDescent="0.3">
      <c r="A30" s="10" t="s">
        <v>5</v>
      </c>
      <c r="B30" s="11"/>
      <c r="C30" s="11"/>
      <c r="D30" s="10" t="s">
        <v>4</v>
      </c>
      <c r="E30" s="9"/>
      <c r="F30" s="8"/>
    </row>
    <row r="31" spans="1:6" ht="18.75" x14ac:dyDescent="0.3">
      <c r="A31" s="10" t="s">
        <v>3</v>
      </c>
      <c r="B31" s="11"/>
      <c r="C31" s="11"/>
      <c r="D31" s="10"/>
      <c r="E31" s="9"/>
      <c r="F31" s="8"/>
    </row>
    <row r="32" spans="1:6" ht="18.75" x14ac:dyDescent="0.3">
      <c r="A32" s="10" t="s">
        <v>2</v>
      </c>
      <c r="B32" s="11"/>
      <c r="C32" s="11"/>
      <c r="D32" s="10"/>
      <c r="E32" s="9"/>
      <c r="F32" s="8"/>
    </row>
    <row r="33" spans="1:6" ht="18.75" x14ac:dyDescent="0.3">
      <c r="A33" s="10" t="s">
        <v>1</v>
      </c>
      <c r="B33" s="11"/>
      <c r="C33" s="11"/>
      <c r="D33" s="10"/>
      <c r="E33" s="9"/>
      <c r="F33" s="8"/>
    </row>
    <row r="34" spans="1:6" ht="19.5" thickBot="1" x14ac:dyDescent="0.35">
      <c r="A34" s="6"/>
      <c r="B34" s="7"/>
      <c r="C34" s="7"/>
      <c r="D34" s="6" t="s">
        <v>0</v>
      </c>
      <c r="E34" s="5"/>
      <c r="F34" s="4"/>
    </row>
    <row r="35" spans="1:6" ht="15.75" thickBot="1" x14ac:dyDescent="0.3">
      <c r="A35" s="3"/>
      <c r="B35" s="2"/>
      <c r="C35" s="2"/>
      <c r="D35" s="2"/>
      <c r="E35" s="2"/>
      <c r="F35" s="1"/>
    </row>
  </sheetData>
  <mergeCells count="5">
    <mergeCell ref="A6:C6"/>
    <mergeCell ref="A7:C7"/>
    <mergeCell ref="A8:C8"/>
    <mergeCell ref="A9:C9"/>
    <mergeCell ref="A11:C11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A33" sqref="A33"/>
    </sheetView>
  </sheetViews>
  <sheetFormatPr defaultRowHeight="15" x14ac:dyDescent="0.25"/>
  <cols>
    <col min="1" max="1" width="7.42578125" customWidth="1"/>
    <col min="2" max="2" width="25.5703125" customWidth="1"/>
    <col min="3" max="3" width="12.85546875" customWidth="1"/>
    <col min="4" max="4" width="11.7109375" customWidth="1"/>
    <col min="5" max="5" width="10.7109375" customWidth="1"/>
    <col min="6" max="6" width="19.7109375" customWidth="1"/>
  </cols>
  <sheetData>
    <row r="1" spans="1:6" ht="21.75" thickBot="1" x14ac:dyDescent="0.4">
      <c r="A1" s="55"/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9.5" thickBot="1" x14ac:dyDescent="0.35">
      <c r="A6" s="242" t="s">
        <v>41</v>
      </c>
      <c r="B6" s="243"/>
      <c r="C6" s="244"/>
      <c r="D6" s="7" t="s">
        <v>20</v>
      </c>
      <c r="E6" s="7" t="s">
        <v>158</v>
      </c>
      <c r="F6" s="49"/>
    </row>
    <row r="7" spans="1:6" ht="18.75" x14ac:dyDescent="0.3">
      <c r="A7" s="263" t="s">
        <v>140</v>
      </c>
      <c r="B7" s="264"/>
      <c r="C7" s="265"/>
      <c r="D7" s="11"/>
      <c r="E7" s="11"/>
      <c r="F7" s="48"/>
    </row>
    <row r="8" spans="1:6" ht="18.75" x14ac:dyDescent="0.3">
      <c r="A8" s="263" t="s">
        <v>141</v>
      </c>
      <c r="B8" s="264"/>
      <c r="C8" s="265"/>
      <c r="D8" s="11" t="s">
        <v>17</v>
      </c>
      <c r="E8" s="11"/>
      <c r="F8" s="48">
        <v>202</v>
      </c>
    </row>
    <row r="9" spans="1:6" ht="19.5" thickBot="1" x14ac:dyDescent="0.35">
      <c r="A9" s="263" t="s">
        <v>142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3"/>
      <c r="F10" s="42"/>
    </row>
    <row r="11" spans="1:6" ht="15.75" thickBot="1" x14ac:dyDescent="0.3">
      <c r="A11" s="266" t="s">
        <v>143</v>
      </c>
      <c r="B11" s="267"/>
      <c r="C11" s="268"/>
      <c r="D11" s="38"/>
      <c r="E11" s="38"/>
      <c r="F11" s="37"/>
    </row>
    <row r="12" spans="1:6" ht="19.5" thickBot="1" x14ac:dyDescent="0.35">
      <c r="A12" s="254"/>
      <c r="B12" s="255"/>
      <c r="C12" s="256"/>
      <c r="D12" s="44" t="s">
        <v>38</v>
      </c>
      <c r="E12" s="40"/>
      <c r="F12" s="39"/>
    </row>
    <row r="13" spans="1:6" ht="15.75" thickBot="1" x14ac:dyDescent="0.3">
      <c r="A13" s="239"/>
      <c r="B13" s="240"/>
      <c r="C13" s="241"/>
      <c r="D13" s="38"/>
      <c r="E13" s="38"/>
      <c r="F13" s="37"/>
    </row>
    <row r="14" spans="1:6" ht="15.75" thickBot="1" x14ac:dyDescent="0.3">
      <c r="A14" s="35" t="s">
        <v>14</v>
      </c>
      <c r="B14" s="62" t="s">
        <v>13</v>
      </c>
      <c r="C14" s="35" t="s">
        <v>12</v>
      </c>
      <c r="D14" s="62" t="s">
        <v>11</v>
      </c>
      <c r="E14" s="35" t="s">
        <v>10</v>
      </c>
      <c r="F14" s="35" t="s">
        <v>9</v>
      </c>
    </row>
    <row r="15" spans="1:6" ht="19.5" thickBot="1" x14ac:dyDescent="0.35">
      <c r="A15" s="32"/>
      <c r="B15" s="69"/>
      <c r="C15" s="32"/>
      <c r="D15" s="72"/>
      <c r="E15" s="32"/>
      <c r="F15" s="32"/>
    </row>
    <row r="16" spans="1:6" ht="19.5" thickBot="1" x14ac:dyDescent="0.35">
      <c r="A16" s="68">
        <v>1</v>
      </c>
      <c r="B16" s="69" t="s">
        <v>36</v>
      </c>
      <c r="C16" s="68" t="s">
        <v>91</v>
      </c>
      <c r="D16" s="162">
        <v>7</v>
      </c>
      <c r="E16" s="133">
        <v>50</v>
      </c>
      <c r="F16" s="134">
        <f>+D16*E16</f>
        <v>350</v>
      </c>
    </row>
    <row r="17" spans="1:6" x14ac:dyDescent="0.25">
      <c r="A17" s="32"/>
      <c r="B17" s="72"/>
      <c r="C17" s="72"/>
      <c r="D17" s="100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/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x14ac:dyDescent="0.25">
      <c r="A22" s="23"/>
      <c r="B22" s="38"/>
      <c r="C22" s="38"/>
      <c r="D22" s="37"/>
      <c r="E22" s="37" t="s">
        <v>30</v>
      </c>
      <c r="F22" s="23"/>
    </row>
    <row r="23" spans="1:6" x14ac:dyDescent="0.25">
      <c r="A23" s="23"/>
      <c r="B23" s="38"/>
      <c r="C23" s="38"/>
      <c r="D23" s="37"/>
      <c r="E23" s="37"/>
      <c r="F23" s="23"/>
    </row>
    <row r="24" spans="1:6" x14ac:dyDescent="0.25">
      <c r="A24" s="23"/>
      <c r="B24" s="38"/>
      <c r="C24" s="38"/>
      <c r="D24" s="37"/>
      <c r="E24" s="37"/>
      <c r="F24" s="23"/>
    </row>
    <row r="25" spans="1:6" ht="18.75" x14ac:dyDescent="0.3">
      <c r="A25" s="23"/>
      <c r="B25" s="11"/>
      <c r="C25" s="38"/>
      <c r="D25" s="37"/>
      <c r="E25" s="37"/>
      <c r="F25" s="23"/>
    </row>
    <row r="26" spans="1:6" ht="19.5" thickBot="1" x14ac:dyDescent="0.35">
      <c r="A26" s="136"/>
      <c r="B26" s="71"/>
      <c r="C26" s="71"/>
      <c r="D26" s="154"/>
      <c r="E26" s="37"/>
      <c r="F26" s="70">
        <f>SUM(F15:F25)</f>
        <v>350</v>
      </c>
    </row>
    <row r="27" spans="1:6" ht="19.5" thickBot="1" x14ac:dyDescent="0.35">
      <c r="A27" s="168"/>
      <c r="B27" s="11" t="s">
        <v>33</v>
      </c>
      <c r="C27" s="24"/>
      <c r="D27" s="220" t="s">
        <v>133</v>
      </c>
      <c r="E27" s="68"/>
      <c r="F27" s="67">
        <f>F26*2.5/100</f>
        <v>8.75</v>
      </c>
    </row>
    <row r="28" spans="1:6" ht="19.5" thickBot="1" x14ac:dyDescent="0.35">
      <c r="A28" s="41"/>
      <c r="B28" s="43" t="s">
        <v>32</v>
      </c>
      <c r="C28" s="41"/>
      <c r="D28" s="221" t="s">
        <v>133</v>
      </c>
      <c r="E28" s="41"/>
      <c r="F28" s="65">
        <f>F26*2.5/100</f>
        <v>8.75</v>
      </c>
    </row>
    <row r="29" spans="1:6" ht="15.75" thickBot="1" x14ac:dyDescent="0.3">
      <c r="A29" s="21"/>
      <c r="B29" s="63"/>
      <c r="C29" s="21"/>
      <c r="D29" s="63"/>
      <c r="E29" s="21"/>
      <c r="F29" s="21"/>
    </row>
    <row r="30" spans="1:6" ht="19.5" thickBot="1" x14ac:dyDescent="0.35">
      <c r="A30" s="19" t="s">
        <v>6</v>
      </c>
      <c r="B30" s="18"/>
      <c r="C30" s="17"/>
      <c r="D30" s="17"/>
      <c r="E30" s="17"/>
      <c r="F30" s="33">
        <f>F26+F27+F28</f>
        <v>367.5</v>
      </c>
    </row>
    <row r="31" spans="1:6" ht="19.5" thickBot="1" x14ac:dyDescent="0.35">
      <c r="A31" s="19"/>
      <c r="B31" s="18"/>
      <c r="C31" s="17"/>
      <c r="D31" s="17"/>
      <c r="E31" s="17"/>
      <c r="F31" s="16"/>
    </row>
    <row r="32" spans="1:6" ht="16.5" thickBot="1" x14ac:dyDescent="0.3">
      <c r="A32" s="60" t="s">
        <v>159</v>
      </c>
      <c r="B32" s="59"/>
      <c r="C32" s="59"/>
      <c r="D32" s="58"/>
      <c r="E32" s="58"/>
      <c r="F32" s="57"/>
    </row>
    <row r="33" spans="1:6" ht="18.75" x14ac:dyDescent="0.3">
      <c r="A33" s="10" t="s">
        <v>5</v>
      </c>
      <c r="B33" s="11"/>
      <c r="C33" s="11"/>
      <c r="D33" s="10" t="s">
        <v>4</v>
      </c>
      <c r="E33" s="9"/>
      <c r="F33" s="8"/>
    </row>
    <row r="34" spans="1:6" ht="18.75" x14ac:dyDescent="0.3">
      <c r="A34" s="10" t="s">
        <v>3</v>
      </c>
      <c r="B34" s="11"/>
      <c r="C34" s="11"/>
      <c r="D34" s="10"/>
      <c r="E34" s="9"/>
      <c r="F34" s="8"/>
    </row>
    <row r="35" spans="1:6" ht="18.75" x14ac:dyDescent="0.3">
      <c r="A35" s="10" t="s">
        <v>2</v>
      </c>
      <c r="B35" s="11"/>
      <c r="C35" s="11"/>
      <c r="D35" s="10"/>
      <c r="E35" s="9"/>
      <c r="F35" s="8"/>
    </row>
    <row r="36" spans="1:6" ht="18.75" x14ac:dyDescent="0.3">
      <c r="A36" s="10" t="s">
        <v>1</v>
      </c>
      <c r="B36" s="11"/>
      <c r="C36" s="11"/>
      <c r="D36" s="10"/>
      <c r="E36" s="9"/>
      <c r="F36" s="8"/>
    </row>
    <row r="37" spans="1:6" ht="19.5" thickBot="1" x14ac:dyDescent="0.35">
      <c r="A37" s="6"/>
      <c r="B37" s="7"/>
      <c r="C37" s="7"/>
      <c r="D37" s="6" t="s">
        <v>0</v>
      </c>
      <c r="E37" s="5"/>
      <c r="F37" s="4"/>
    </row>
    <row r="38" spans="1:6" ht="15.75" thickBot="1" x14ac:dyDescent="0.3">
      <c r="A38" s="3"/>
      <c r="B38" s="2"/>
      <c r="C38" s="2"/>
      <c r="D38" s="2"/>
      <c r="E38" s="2"/>
      <c r="F38" s="1"/>
    </row>
  </sheetData>
  <mergeCells count="7">
    <mergeCell ref="A13:C13"/>
    <mergeCell ref="A6:C6"/>
    <mergeCell ref="A7:C7"/>
    <mergeCell ref="A8:C8"/>
    <mergeCell ref="A9:C9"/>
    <mergeCell ref="A11:C11"/>
    <mergeCell ref="A12:C12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A32" sqref="A32"/>
    </sheetView>
  </sheetViews>
  <sheetFormatPr defaultRowHeight="15" x14ac:dyDescent="0.25"/>
  <cols>
    <col min="1" max="1" width="7.140625" customWidth="1"/>
    <col min="2" max="2" width="26" customWidth="1"/>
    <col min="3" max="3" width="11.140625" customWidth="1"/>
    <col min="4" max="4" width="11.85546875" customWidth="1"/>
    <col min="5" max="5" width="12" customWidth="1"/>
    <col min="6" max="6" width="17.42578125" customWidth="1"/>
  </cols>
  <sheetData>
    <row r="1" spans="1:6" ht="21.75" thickBot="1" x14ac:dyDescent="0.4">
      <c r="A1" s="55"/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21.75" thickBot="1" x14ac:dyDescent="0.4">
      <c r="A6" s="80"/>
      <c r="B6" s="81"/>
      <c r="C6" s="200" t="s">
        <v>42</v>
      </c>
      <c r="D6" s="81"/>
      <c r="E6" s="81"/>
      <c r="F6" s="82"/>
    </row>
    <row r="7" spans="1:6" ht="19.5" thickBot="1" x14ac:dyDescent="0.35">
      <c r="A7" s="242" t="s">
        <v>144</v>
      </c>
      <c r="B7" s="243"/>
      <c r="C7" s="244"/>
      <c r="D7" s="7" t="s">
        <v>20</v>
      </c>
      <c r="E7" s="7" t="s">
        <v>206</v>
      </c>
      <c r="F7" s="49"/>
    </row>
    <row r="8" spans="1:6" ht="18.75" x14ac:dyDescent="0.3">
      <c r="A8" s="263" t="s">
        <v>66</v>
      </c>
      <c r="B8" s="264"/>
      <c r="C8" s="265"/>
      <c r="D8" s="11"/>
      <c r="E8" s="11"/>
      <c r="F8" s="48"/>
    </row>
    <row r="9" spans="1:6" ht="18.75" x14ac:dyDescent="0.3">
      <c r="A9" s="263" t="s">
        <v>67</v>
      </c>
      <c r="B9" s="264"/>
      <c r="C9" s="265"/>
      <c r="D9" s="11" t="s">
        <v>17</v>
      </c>
      <c r="E9" s="11"/>
      <c r="F9" s="48" t="s">
        <v>214</v>
      </c>
    </row>
    <row r="10" spans="1:6" ht="19.5" thickBot="1" x14ac:dyDescent="0.35">
      <c r="A10" s="139" t="s">
        <v>68</v>
      </c>
      <c r="B10" s="46"/>
      <c r="C10" s="45" t="s">
        <v>30</v>
      </c>
      <c r="D10" s="11"/>
      <c r="E10" s="11"/>
      <c r="F10" s="48"/>
    </row>
    <row r="11" spans="1:6" ht="19.5" thickBot="1" x14ac:dyDescent="0.35">
      <c r="C11" s="45"/>
      <c r="D11" s="44" t="s">
        <v>38</v>
      </c>
      <c r="E11" s="43"/>
      <c r="F11" s="42"/>
    </row>
    <row r="12" spans="1:6" ht="15.75" thickBot="1" x14ac:dyDescent="0.3">
      <c r="A12" s="266" t="s">
        <v>145</v>
      </c>
      <c r="B12" s="267"/>
      <c r="C12" s="268"/>
      <c r="D12" s="38"/>
      <c r="E12" s="38"/>
      <c r="F12" s="37"/>
    </row>
    <row r="13" spans="1:6" ht="19.5" thickBot="1" x14ac:dyDescent="0.35">
      <c r="A13" s="254"/>
      <c r="B13" s="255"/>
      <c r="C13" s="256"/>
      <c r="D13" s="41" t="s">
        <v>15</v>
      </c>
      <c r="E13" s="40"/>
      <c r="F13" s="39"/>
    </row>
    <row r="14" spans="1:6" ht="15.75" thickBot="1" x14ac:dyDescent="0.3">
      <c r="A14" s="239"/>
      <c r="B14" s="240"/>
      <c r="C14" s="241"/>
      <c r="D14" s="38"/>
      <c r="E14" s="38"/>
      <c r="F14" s="37"/>
    </row>
    <row r="15" spans="1:6" ht="15.75" thickBot="1" x14ac:dyDescent="0.3">
      <c r="A15" s="35" t="s">
        <v>14</v>
      </c>
      <c r="B15" s="62" t="s">
        <v>13</v>
      </c>
      <c r="C15" s="35" t="s">
        <v>12</v>
      </c>
      <c r="D15" s="62" t="s">
        <v>11</v>
      </c>
      <c r="E15" s="35" t="s">
        <v>10</v>
      </c>
      <c r="F15" s="35" t="s">
        <v>9</v>
      </c>
    </row>
    <row r="16" spans="1:6" ht="16.5" thickBot="1" x14ac:dyDescent="0.3">
      <c r="A16" s="130"/>
      <c r="B16" s="94"/>
      <c r="C16" s="130"/>
      <c r="D16" s="113"/>
      <c r="E16" s="130"/>
      <c r="F16" s="130"/>
    </row>
    <row r="17" spans="1:6" ht="16.5" thickBot="1" x14ac:dyDescent="0.3">
      <c r="A17" s="130">
        <v>1</v>
      </c>
      <c r="B17" s="232" t="s">
        <v>102</v>
      </c>
      <c r="C17" s="233"/>
      <c r="D17" s="112">
        <v>128</v>
      </c>
      <c r="E17" s="234">
        <v>45</v>
      </c>
      <c r="F17" s="235">
        <f>+D17*E17</f>
        <v>5760</v>
      </c>
    </row>
    <row r="18" spans="1:6" ht="16.5" thickBot="1" x14ac:dyDescent="0.3">
      <c r="A18" s="163">
        <v>2</v>
      </c>
      <c r="B18" s="164" t="s">
        <v>215</v>
      </c>
      <c r="C18" s="164">
        <f t="shared" ref="C18" si="0">SUM(C17)</f>
        <v>0</v>
      </c>
      <c r="D18" s="60">
        <v>5</v>
      </c>
      <c r="E18" s="166">
        <v>190</v>
      </c>
      <c r="F18" s="167">
        <f>+D18*E18</f>
        <v>950</v>
      </c>
    </row>
    <row r="19" spans="1:6" ht="15.75" x14ac:dyDescent="0.25">
      <c r="A19" s="93"/>
      <c r="B19" s="94"/>
      <c r="C19" s="94"/>
      <c r="D19" s="117"/>
      <c r="E19" s="117"/>
      <c r="F19" s="93"/>
    </row>
    <row r="20" spans="1:6" ht="15.75" x14ac:dyDescent="0.25">
      <c r="A20" s="93"/>
      <c r="B20" s="94"/>
      <c r="C20" s="94"/>
      <c r="D20" s="117"/>
      <c r="E20" s="117"/>
      <c r="F20" s="93"/>
    </row>
    <row r="21" spans="1:6" ht="15.75" x14ac:dyDescent="0.25">
      <c r="A21" s="93"/>
      <c r="B21" s="94"/>
      <c r="C21" s="94"/>
      <c r="D21" s="117"/>
      <c r="E21" s="117"/>
      <c r="F21" s="93"/>
    </row>
    <row r="22" spans="1:6" ht="15.75" x14ac:dyDescent="0.25">
      <c r="A22" s="93"/>
      <c r="B22" s="94"/>
      <c r="C22" s="94"/>
      <c r="D22" s="117"/>
      <c r="E22" s="117"/>
      <c r="F22" s="93"/>
    </row>
    <row r="23" spans="1:6" ht="15.75" x14ac:dyDescent="0.25">
      <c r="A23" s="93"/>
      <c r="B23" s="94"/>
      <c r="C23" s="94"/>
      <c r="D23" s="117"/>
      <c r="E23" s="117"/>
      <c r="F23" s="93"/>
    </row>
    <row r="24" spans="1:6" ht="15.75" x14ac:dyDescent="0.25">
      <c r="A24" s="93"/>
      <c r="B24" s="94"/>
      <c r="C24" s="94"/>
      <c r="D24" s="117"/>
      <c r="E24" s="117"/>
      <c r="F24" s="93"/>
    </row>
    <row r="25" spans="1:6" ht="15.75" x14ac:dyDescent="0.25">
      <c r="A25" s="93"/>
      <c r="B25" s="94"/>
      <c r="C25" s="94"/>
      <c r="D25" s="117"/>
      <c r="E25" s="117" t="s">
        <v>30</v>
      </c>
      <c r="F25" s="93"/>
    </row>
    <row r="26" spans="1:6" ht="19.5" thickBot="1" x14ac:dyDescent="0.35">
      <c r="A26" s="136"/>
      <c r="B26" s="71"/>
      <c r="C26" s="71"/>
      <c r="D26" s="154"/>
      <c r="E26" s="37"/>
      <c r="F26" s="70">
        <f>SUM(F17:F25)</f>
        <v>6710</v>
      </c>
    </row>
    <row r="27" spans="1:6" ht="19.5" thickBot="1" x14ac:dyDescent="0.35">
      <c r="A27" s="168"/>
      <c r="B27" s="11" t="s">
        <v>33</v>
      </c>
      <c r="C27" s="24"/>
      <c r="D27" s="220" t="s">
        <v>133</v>
      </c>
      <c r="E27" s="68"/>
      <c r="F27" s="67">
        <f>F26*2.5/100</f>
        <v>167.75</v>
      </c>
    </row>
    <row r="28" spans="1:6" ht="19.5" thickBot="1" x14ac:dyDescent="0.35">
      <c r="A28" s="41"/>
      <c r="B28" s="43" t="s">
        <v>32</v>
      </c>
      <c r="C28" s="41"/>
      <c r="D28" s="221" t="s">
        <v>133</v>
      </c>
      <c r="E28" s="41"/>
      <c r="F28" s="65">
        <f>F26*2.5/100</f>
        <v>167.75</v>
      </c>
    </row>
    <row r="29" spans="1:6" ht="15.75" thickBot="1" x14ac:dyDescent="0.3">
      <c r="A29" s="21"/>
      <c r="B29" s="63"/>
      <c r="C29" s="21"/>
      <c r="D29" s="63"/>
      <c r="E29" s="21"/>
      <c r="F29" s="21"/>
    </row>
    <row r="30" spans="1:6" ht="19.5" thickBot="1" x14ac:dyDescent="0.35">
      <c r="A30" s="19" t="s">
        <v>6</v>
      </c>
      <c r="B30" s="18"/>
      <c r="C30" s="17"/>
      <c r="D30" s="17"/>
      <c r="E30" s="17"/>
      <c r="F30" s="33">
        <f>F26+F27+F28</f>
        <v>7045.5</v>
      </c>
    </row>
    <row r="31" spans="1:6" ht="15.75" thickBot="1" x14ac:dyDescent="0.3">
      <c r="A31" s="126" t="s">
        <v>216</v>
      </c>
      <c r="B31" s="127"/>
      <c r="C31" s="127"/>
      <c r="D31" s="127"/>
      <c r="E31" s="127"/>
      <c r="F31" s="132"/>
    </row>
    <row r="32" spans="1:6" ht="15.75" x14ac:dyDescent="0.25">
      <c r="A32" s="95" t="s">
        <v>120</v>
      </c>
      <c r="B32" s="94"/>
      <c r="C32" s="117"/>
      <c r="D32" s="95" t="s">
        <v>4</v>
      </c>
      <c r="E32" s="114"/>
      <c r="F32" s="115"/>
    </row>
    <row r="33" spans="1:6" ht="15.75" x14ac:dyDescent="0.25">
      <c r="A33" s="116" t="s">
        <v>43</v>
      </c>
      <c r="B33" s="94"/>
      <c r="C33" s="117"/>
      <c r="D33" s="95"/>
      <c r="E33" s="114"/>
      <c r="F33" s="115"/>
    </row>
    <row r="34" spans="1:6" ht="15.75" x14ac:dyDescent="0.25">
      <c r="A34" s="95" t="s">
        <v>52</v>
      </c>
      <c r="B34" s="94"/>
      <c r="C34" s="117"/>
      <c r="D34" s="95"/>
      <c r="E34" s="114"/>
      <c r="F34" s="115"/>
    </row>
    <row r="35" spans="1:6" ht="15.75" x14ac:dyDescent="0.25">
      <c r="A35" s="95" t="s">
        <v>53</v>
      </c>
      <c r="B35" s="94"/>
      <c r="C35" s="117"/>
      <c r="D35" s="95"/>
      <c r="E35" s="114"/>
      <c r="F35" s="115"/>
    </row>
    <row r="36" spans="1:6" ht="16.5" thickBot="1" x14ac:dyDescent="0.3">
      <c r="A36" s="118"/>
      <c r="B36" s="119"/>
      <c r="C36" s="120"/>
      <c r="D36" s="118" t="s">
        <v>0</v>
      </c>
      <c r="E36" s="121"/>
      <c r="F36" s="122"/>
    </row>
    <row r="37" spans="1:6" ht="16.5" thickBot="1" x14ac:dyDescent="0.3">
      <c r="A37" s="123"/>
      <c r="B37" s="124"/>
      <c r="C37" s="124"/>
      <c r="D37" s="124"/>
      <c r="E37" s="124"/>
      <c r="F37" s="125"/>
    </row>
  </sheetData>
  <mergeCells count="6">
    <mergeCell ref="A14:C14"/>
    <mergeCell ref="A7:C7"/>
    <mergeCell ref="A8:C8"/>
    <mergeCell ref="A9:C9"/>
    <mergeCell ref="A12:C12"/>
    <mergeCell ref="A13:C13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F9" sqref="F9"/>
    </sheetView>
  </sheetViews>
  <sheetFormatPr defaultRowHeight="15" x14ac:dyDescent="0.25"/>
  <cols>
    <col min="1" max="1" width="7.85546875" customWidth="1"/>
    <col min="2" max="2" width="26.85546875" customWidth="1"/>
    <col min="3" max="3" width="11.28515625" customWidth="1"/>
    <col min="4" max="4" width="11.85546875" customWidth="1"/>
    <col min="5" max="5" width="12.140625" customWidth="1"/>
    <col min="6" max="6" width="14.85546875" customWidth="1"/>
  </cols>
  <sheetData>
    <row r="1" spans="1:6" ht="21.75" thickBot="1" x14ac:dyDescent="0.4">
      <c r="A1" s="169"/>
      <c r="B1" s="81" t="s">
        <v>25</v>
      </c>
      <c r="C1" s="81"/>
      <c r="D1" s="170"/>
      <c r="E1" s="74"/>
      <c r="F1" s="75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8.75" x14ac:dyDescent="0.3">
      <c r="A6" s="269" t="s">
        <v>58</v>
      </c>
      <c r="B6" s="270"/>
      <c r="C6" s="272"/>
      <c r="D6" s="11" t="s">
        <v>79</v>
      </c>
      <c r="E6" s="11" t="s">
        <v>160</v>
      </c>
      <c r="F6" s="48"/>
    </row>
    <row r="7" spans="1:6" ht="19.5" thickBot="1" x14ac:dyDescent="0.35">
      <c r="A7" s="245" t="s">
        <v>146</v>
      </c>
      <c r="B7" s="246"/>
      <c r="C7" s="247"/>
      <c r="D7" s="11"/>
      <c r="E7" s="11"/>
      <c r="F7" s="48"/>
    </row>
    <row r="8" spans="1:6" ht="19.5" thickBot="1" x14ac:dyDescent="0.35">
      <c r="A8" s="263" t="s">
        <v>147</v>
      </c>
      <c r="B8" s="264"/>
      <c r="C8" s="265"/>
      <c r="D8" s="44" t="s">
        <v>17</v>
      </c>
      <c r="E8" s="43"/>
      <c r="F8" s="42" t="s">
        <v>166</v>
      </c>
    </row>
    <row r="9" spans="1:6" ht="19.5" thickBot="1" x14ac:dyDescent="0.35">
      <c r="A9" s="263" t="s">
        <v>148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0"/>
      <c r="F10" s="39"/>
    </row>
    <row r="11" spans="1:6" ht="19.5" thickBot="1" x14ac:dyDescent="0.35">
      <c r="A11" s="273" t="s">
        <v>149</v>
      </c>
      <c r="B11" s="274"/>
      <c r="C11" s="275"/>
      <c r="D11" s="19" t="s">
        <v>38</v>
      </c>
      <c r="E11" s="38"/>
      <c r="F11" s="37"/>
    </row>
    <row r="12" spans="1:6" x14ac:dyDescent="0.25">
      <c r="A12" s="176" t="s">
        <v>14</v>
      </c>
      <c r="B12" s="177" t="s">
        <v>13</v>
      </c>
      <c r="C12" s="177" t="s">
        <v>12</v>
      </c>
      <c r="D12" s="177" t="s">
        <v>11</v>
      </c>
      <c r="E12" s="177" t="s">
        <v>10</v>
      </c>
      <c r="F12" s="178" t="s">
        <v>9</v>
      </c>
    </row>
    <row r="13" spans="1:6" ht="15.75" thickBot="1" x14ac:dyDescent="0.3">
      <c r="A13" s="3"/>
      <c r="B13" s="213"/>
      <c r="C13" s="2"/>
      <c r="D13" s="2"/>
      <c r="E13" s="2"/>
      <c r="F13" s="1"/>
    </row>
    <row r="14" spans="1:6" ht="19.5" thickBot="1" x14ac:dyDescent="0.35">
      <c r="A14" s="44">
        <v>1</v>
      </c>
      <c r="B14" s="41" t="s">
        <v>36</v>
      </c>
      <c r="C14" s="171"/>
      <c r="D14" s="172">
        <v>70</v>
      </c>
      <c r="E14" s="173">
        <v>40</v>
      </c>
      <c r="F14" s="133">
        <f>+D14*E14</f>
        <v>2800</v>
      </c>
    </row>
    <row r="15" spans="1:6" x14ac:dyDescent="0.25">
      <c r="A15" s="23"/>
      <c r="B15" s="38"/>
      <c r="C15" s="38"/>
      <c r="D15" s="37"/>
      <c r="E15" s="37"/>
      <c r="F15" s="23"/>
    </row>
    <row r="16" spans="1:6" x14ac:dyDescent="0.25">
      <c r="A16" s="23"/>
      <c r="B16" s="38"/>
      <c r="C16" s="38"/>
      <c r="D16" s="37"/>
      <c r="E16" s="37"/>
      <c r="F16" s="23"/>
    </row>
    <row r="17" spans="1:6" x14ac:dyDescent="0.25">
      <c r="A17" s="23"/>
      <c r="B17" s="38"/>
      <c r="C17" s="38"/>
      <c r="D17" s="37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 t="s">
        <v>30</v>
      </c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ht="18.75" x14ac:dyDescent="0.3">
      <c r="A22" s="23"/>
      <c r="B22" s="11"/>
      <c r="C22" s="38"/>
      <c r="D22" s="37"/>
      <c r="E22" s="37"/>
      <c r="F22" s="23"/>
    </row>
    <row r="23" spans="1:6" ht="19.5" thickBot="1" x14ac:dyDescent="0.35">
      <c r="A23" s="136"/>
      <c r="B23" s="71"/>
      <c r="C23" s="71"/>
      <c r="D23" s="154"/>
      <c r="E23" s="37"/>
      <c r="F23" s="70">
        <f>SUM(F12:F22)</f>
        <v>2800</v>
      </c>
    </row>
    <row r="24" spans="1:6" ht="19.5" thickBot="1" x14ac:dyDescent="0.35">
      <c r="A24" s="168"/>
      <c r="B24" s="11" t="s">
        <v>33</v>
      </c>
      <c r="C24" s="24"/>
      <c r="D24" s="220" t="s">
        <v>133</v>
      </c>
      <c r="E24" s="68"/>
      <c r="F24" s="67">
        <f>F23*2.5/100</f>
        <v>70</v>
      </c>
    </row>
    <row r="25" spans="1:6" ht="19.5" thickBot="1" x14ac:dyDescent="0.35">
      <c r="A25" s="41"/>
      <c r="B25" s="43" t="s">
        <v>32</v>
      </c>
      <c r="C25" s="41"/>
      <c r="D25" s="221" t="s">
        <v>133</v>
      </c>
      <c r="E25" s="41"/>
      <c r="F25" s="65">
        <f>F23*2.5/100</f>
        <v>70</v>
      </c>
    </row>
    <row r="26" spans="1:6" ht="15.75" thickBot="1" x14ac:dyDescent="0.3">
      <c r="A26" s="21"/>
      <c r="B26" s="63"/>
      <c r="C26" s="21"/>
      <c r="D26" s="63"/>
      <c r="E26" s="21"/>
      <c r="F26" s="21"/>
    </row>
    <row r="27" spans="1:6" ht="19.5" thickBot="1" x14ac:dyDescent="0.35">
      <c r="A27" s="19" t="s">
        <v>6</v>
      </c>
      <c r="B27" s="18"/>
      <c r="C27" s="17"/>
      <c r="D27" s="17"/>
      <c r="E27" s="17"/>
      <c r="F27" s="33">
        <f>F23+F24+F25</f>
        <v>2940</v>
      </c>
    </row>
    <row r="28" spans="1:6" ht="19.5" thickBot="1" x14ac:dyDescent="0.35">
      <c r="A28" s="19"/>
      <c r="B28" s="18"/>
      <c r="C28" s="17"/>
      <c r="D28" s="17"/>
      <c r="E28" s="17"/>
      <c r="F28" s="16"/>
    </row>
    <row r="29" spans="1:6" ht="16.5" thickBot="1" x14ac:dyDescent="0.3">
      <c r="A29" s="60" t="s">
        <v>163</v>
      </c>
      <c r="B29" s="59"/>
      <c r="C29" s="59"/>
      <c r="D29" s="58"/>
      <c r="E29" s="58"/>
      <c r="F29" s="57"/>
    </row>
    <row r="30" spans="1:6" ht="18.75" x14ac:dyDescent="0.3">
      <c r="A30" s="10" t="s">
        <v>5</v>
      </c>
      <c r="B30" s="11"/>
      <c r="C30" s="11"/>
      <c r="D30" s="10" t="s">
        <v>4</v>
      </c>
      <c r="E30" s="9"/>
      <c r="F30" s="8"/>
    </row>
    <row r="31" spans="1:6" ht="18.75" x14ac:dyDescent="0.3">
      <c r="A31" s="10" t="s">
        <v>3</v>
      </c>
      <c r="B31" s="11"/>
      <c r="C31" s="11"/>
      <c r="D31" s="10"/>
      <c r="E31" s="9"/>
      <c r="F31" s="8"/>
    </row>
    <row r="32" spans="1:6" ht="18.75" x14ac:dyDescent="0.3">
      <c r="A32" s="10" t="s">
        <v>2</v>
      </c>
      <c r="B32" s="11"/>
      <c r="C32" s="11"/>
      <c r="D32" s="10"/>
      <c r="E32" s="9"/>
      <c r="F32" s="8"/>
    </row>
    <row r="33" spans="1:6" ht="18.75" x14ac:dyDescent="0.3">
      <c r="A33" s="10" t="s">
        <v>1</v>
      </c>
      <c r="B33" s="11"/>
      <c r="C33" s="11"/>
      <c r="D33" s="10"/>
      <c r="E33" s="9"/>
      <c r="F33" s="8"/>
    </row>
    <row r="34" spans="1:6" ht="19.5" thickBot="1" x14ac:dyDescent="0.35">
      <c r="A34" s="6"/>
      <c r="B34" s="7"/>
      <c r="C34" s="7"/>
      <c r="D34" s="6" t="s">
        <v>0</v>
      </c>
      <c r="E34" s="5"/>
      <c r="F34" s="4"/>
    </row>
    <row r="35" spans="1:6" ht="15.75" thickBot="1" x14ac:dyDescent="0.3">
      <c r="A35" s="3"/>
      <c r="B35" s="2"/>
      <c r="C35" s="2"/>
      <c r="D35" s="2"/>
      <c r="E35" s="2"/>
      <c r="F35" s="1"/>
    </row>
  </sheetData>
  <mergeCells count="5">
    <mergeCell ref="A6:C6"/>
    <mergeCell ref="A7:C7"/>
    <mergeCell ref="A8:C8"/>
    <mergeCell ref="A9:C9"/>
    <mergeCell ref="A11:C11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C14" sqref="C14"/>
    </sheetView>
  </sheetViews>
  <sheetFormatPr defaultRowHeight="15" x14ac:dyDescent="0.25"/>
  <cols>
    <col min="1" max="1" width="7.42578125" customWidth="1"/>
    <col min="2" max="2" width="24.28515625" customWidth="1"/>
    <col min="3" max="3" width="13.140625" customWidth="1"/>
    <col min="4" max="4" width="11.85546875" customWidth="1"/>
    <col min="5" max="5" width="12.140625" customWidth="1"/>
    <col min="6" max="6" width="17.140625" customWidth="1"/>
  </cols>
  <sheetData>
    <row r="1" spans="1:6" ht="21.75" thickBot="1" x14ac:dyDescent="0.4">
      <c r="A1" s="169"/>
      <c r="B1" s="81" t="s">
        <v>25</v>
      </c>
      <c r="C1" s="81"/>
      <c r="D1" s="170"/>
      <c r="E1" s="74"/>
      <c r="F1" s="75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8.75" x14ac:dyDescent="0.3">
      <c r="A6" s="269" t="s">
        <v>58</v>
      </c>
      <c r="B6" s="270"/>
      <c r="C6" s="272"/>
      <c r="D6" s="11" t="s">
        <v>79</v>
      </c>
      <c r="E6" s="11" t="s">
        <v>206</v>
      </c>
      <c r="F6" s="48"/>
    </row>
    <row r="7" spans="1:6" ht="19.5" thickBot="1" x14ac:dyDescent="0.35">
      <c r="A7" s="245" t="s">
        <v>150</v>
      </c>
      <c r="B7" s="246"/>
      <c r="C7" s="247"/>
      <c r="D7" s="11"/>
      <c r="E7" s="11"/>
      <c r="F7" s="48"/>
    </row>
    <row r="8" spans="1:6" ht="19.5" thickBot="1" x14ac:dyDescent="0.35">
      <c r="A8" s="263" t="s">
        <v>151</v>
      </c>
      <c r="B8" s="264"/>
      <c r="C8" s="265"/>
      <c r="D8" s="44" t="s">
        <v>17</v>
      </c>
      <c r="E8" s="43"/>
      <c r="F8" s="42" t="s">
        <v>218</v>
      </c>
    </row>
    <row r="9" spans="1:6" ht="19.5" thickBot="1" x14ac:dyDescent="0.35">
      <c r="A9" s="263" t="s">
        <v>152</v>
      </c>
      <c r="B9" s="264"/>
      <c r="C9" s="265"/>
      <c r="D9" s="11"/>
      <c r="E9" s="11"/>
      <c r="F9" s="48"/>
    </row>
    <row r="10" spans="1:6" ht="19.5" thickBot="1" x14ac:dyDescent="0.35">
      <c r="A10" s="31" t="s">
        <v>153</v>
      </c>
      <c r="B10" s="38"/>
      <c r="C10" s="37"/>
      <c r="D10" s="41" t="s">
        <v>15</v>
      </c>
      <c r="E10" s="40"/>
      <c r="F10" s="39"/>
    </row>
    <row r="11" spans="1:6" ht="19.5" thickBot="1" x14ac:dyDescent="0.35">
      <c r="A11" s="273" t="s">
        <v>154</v>
      </c>
      <c r="B11" s="274"/>
      <c r="C11" s="275"/>
      <c r="D11" s="19" t="s">
        <v>38</v>
      </c>
      <c r="E11" s="38"/>
      <c r="F11" s="37"/>
    </row>
    <row r="12" spans="1:6" ht="15.75" thickBot="1" x14ac:dyDescent="0.3">
      <c r="A12" s="236" t="s">
        <v>155</v>
      </c>
      <c r="B12" s="237" t="s">
        <v>13</v>
      </c>
      <c r="C12" s="237" t="s">
        <v>12</v>
      </c>
      <c r="D12" s="237" t="s">
        <v>11</v>
      </c>
      <c r="E12" s="237" t="s">
        <v>10</v>
      </c>
      <c r="F12" s="238" t="s">
        <v>9</v>
      </c>
    </row>
    <row r="13" spans="1:6" ht="15.75" thickBot="1" x14ac:dyDescent="0.3">
      <c r="A13" s="77"/>
      <c r="B13" s="191"/>
      <c r="C13" s="78"/>
      <c r="D13" s="78"/>
      <c r="E13" s="78"/>
      <c r="F13" s="79"/>
    </row>
    <row r="14" spans="1:6" ht="19.5" thickBot="1" x14ac:dyDescent="0.35">
      <c r="A14" s="44">
        <v>1</v>
      </c>
      <c r="B14" s="41" t="s">
        <v>36</v>
      </c>
      <c r="C14" s="171">
        <v>46143</v>
      </c>
      <c r="D14" s="172">
        <v>106</v>
      </c>
      <c r="E14" s="173">
        <v>30</v>
      </c>
      <c r="F14" s="133">
        <f>+D14*E14</f>
        <v>3180</v>
      </c>
    </row>
    <row r="15" spans="1:6" x14ac:dyDescent="0.25">
      <c r="A15" s="23"/>
      <c r="B15" s="38"/>
      <c r="C15" s="38"/>
      <c r="D15" s="37"/>
      <c r="E15" s="37"/>
      <c r="F15" s="23"/>
    </row>
    <row r="16" spans="1:6" x14ac:dyDescent="0.25">
      <c r="A16" s="23"/>
      <c r="B16" s="38"/>
      <c r="C16" s="38"/>
      <c r="D16" s="37"/>
      <c r="E16" s="37"/>
      <c r="F16" s="23"/>
    </row>
    <row r="17" spans="1:6" x14ac:dyDescent="0.25">
      <c r="A17" s="23"/>
      <c r="B17" s="38"/>
      <c r="C17" s="38"/>
      <c r="D17" s="37"/>
      <c r="E17" s="37" t="s">
        <v>30</v>
      </c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/>
      <c r="F19" s="23"/>
    </row>
    <row r="20" spans="1:6" ht="18.75" x14ac:dyDescent="0.3">
      <c r="A20" s="23"/>
      <c r="B20" s="11"/>
      <c r="C20" s="38"/>
      <c r="D20" s="37"/>
      <c r="E20" s="37"/>
      <c r="F20" s="23"/>
    </row>
    <row r="21" spans="1:6" ht="19.5" thickBot="1" x14ac:dyDescent="0.35">
      <c r="A21" s="136"/>
      <c r="B21" s="71"/>
      <c r="C21" s="71"/>
      <c r="D21" s="154"/>
      <c r="E21" s="37"/>
      <c r="F21" s="70">
        <f>SUM(F12:F20)</f>
        <v>3180</v>
      </c>
    </row>
    <row r="22" spans="1:6" ht="19.5" thickBot="1" x14ac:dyDescent="0.35">
      <c r="A22" s="168"/>
      <c r="B22" s="11" t="s">
        <v>33</v>
      </c>
      <c r="C22" s="24"/>
      <c r="D22" s="220" t="s">
        <v>133</v>
      </c>
      <c r="E22" s="68"/>
      <c r="F22" s="67">
        <f>F21*2.5/100</f>
        <v>79.5</v>
      </c>
    </row>
    <row r="23" spans="1:6" ht="19.5" thickBot="1" x14ac:dyDescent="0.35">
      <c r="A23" s="41"/>
      <c r="B23" s="43" t="s">
        <v>32</v>
      </c>
      <c r="C23" s="41"/>
      <c r="D23" s="221" t="s">
        <v>133</v>
      </c>
      <c r="E23" s="41"/>
      <c r="F23" s="65">
        <f>F21*2.5/100</f>
        <v>79.5</v>
      </c>
    </row>
    <row r="24" spans="1:6" ht="15.75" thickBot="1" x14ac:dyDescent="0.3">
      <c r="A24" s="21"/>
      <c r="B24" s="63"/>
      <c r="C24" s="21"/>
      <c r="D24" s="63"/>
      <c r="E24" s="21"/>
      <c r="F24" s="21"/>
    </row>
    <row r="25" spans="1:6" ht="19.5" thickBot="1" x14ac:dyDescent="0.35">
      <c r="A25" s="19" t="s">
        <v>6</v>
      </c>
      <c r="B25" s="18"/>
      <c r="C25" s="17"/>
      <c r="D25" s="17"/>
      <c r="E25" s="17"/>
      <c r="F25" s="33">
        <f>F21+F22+F23</f>
        <v>3339</v>
      </c>
    </row>
    <row r="26" spans="1:6" ht="19.5" thickBot="1" x14ac:dyDescent="0.35">
      <c r="A26" s="19"/>
      <c r="B26" s="18"/>
      <c r="C26" s="17"/>
      <c r="D26" s="17"/>
      <c r="E26" s="17"/>
      <c r="F26" s="16"/>
    </row>
    <row r="27" spans="1:6" ht="16.5" thickBot="1" x14ac:dyDescent="0.3">
      <c r="A27" s="60" t="s">
        <v>219</v>
      </c>
      <c r="B27" s="59"/>
      <c r="C27" s="59"/>
      <c r="D27" s="58"/>
      <c r="E27" s="58"/>
      <c r="F27" s="57"/>
    </row>
    <row r="28" spans="1:6" ht="18.75" x14ac:dyDescent="0.3">
      <c r="A28" s="10" t="s">
        <v>5</v>
      </c>
      <c r="B28" s="11"/>
      <c r="C28" s="11"/>
      <c r="D28" s="10" t="s">
        <v>4</v>
      </c>
      <c r="E28" s="9"/>
      <c r="F28" s="8"/>
    </row>
    <row r="29" spans="1:6" ht="18.75" x14ac:dyDescent="0.3">
      <c r="A29" s="10" t="s">
        <v>3</v>
      </c>
      <c r="B29" s="11"/>
      <c r="C29" s="11"/>
      <c r="D29" s="10"/>
      <c r="E29" s="9"/>
      <c r="F29" s="8"/>
    </row>
    <row r="30" spans="1:6" ht="18.75" x14ac:dyDescent="0.3">
      <c r="A30" s="10" t="s">
        <v>2</v>
      </c>
      <c r="B30" s="11"/>
      <c r="C30" s="11"/>
      <c r="D30" s="10"/>
      <c r="E30" s="9"/>
      <c r="F30" s="8"/>
    </row>
    <row r="31" spans="1:6" ht="18.75" x14ac:dyDescent="0.3">
      <c r="A31" s="10" t="s">
        <v>1</v>
      </c>
      <c r="B31" s="11"/>
      <c r="C31" s="11"/>
      <c r="D31" s="10"/>
      <c r="E31" s="9"/>
      <c r="F31" s="8"/>
    </row>
    <row r="32" spans="1:6" ht="19.5" thickBot="1" x14ac:dyDescent="0.35">
      <c r="A32" s="6"/>
      <c r="B32" s="7"/>
      <c r="C32" s="7"/>
      <c r="D32" s="6" t="s">
        <v>0</v>
      </c>
      <c r="E32" s="5"/>
      <c r="F32" s="4"/>
    </row>
    <row r="33" spans="1:6" ht="15.75" thickBot="1" x14ac:dyDescent="0.3">
      <c r="A33" s="3"/>
      <c r="B33" s="2"/>
      <c r="C33" s="2"/>
      <c r="D33" s="2"/>
      <c r="E33" s="2"/>
      <c r="F33" s="1"/>
    </row>
  </sheetData>
  <mergeCells count="5">
    <mergeCell ref="A6:C6"/>
    <mergeCell ref="A7:C7"/>
    <mergeCell ref="A8:C8"/>
    <mergeCell ref="A9:C9"/>
    <mergeCell ref="A11:C11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A31" sqref="A31"/>
    </sheetView>
  </sheetViews>
  <sheetFormatPr defaultRowHeight="15" x14ac:dyDescent="0.25"/>
  <cols>
    <col min="1" max="1" width="7.42578125" customWidth="1"/>
    <col min="2" max="2" width="24.42578125" customWidth="1"/>
    <col min="3" max="3" width="11.5703125" customWidth="1"/>
    <col min="4" max="4" width="12.140625" customWidth="1"/>
    <col min="5" max="5" width="12.5703125" customWidth="1"/>
    <col min="6" max="6" width="17.42578125" customWidth="1"/>
  </cols>
  <sheetData>
    <row r="1" spans="1:6" ht="21.75" thickBot="1" x14ac:dyDescent="0.4">
      <c r="A1" s="55"/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21.75" thickBot="1" x14ac:dyDescent="0.4">
      <c r="A6" s="80"/>
      <c r="B6" s="81"/>
      <c r="C6" s="200" t="s">
        <v>42</v>
      </c>
      <c r="D6" s="81"/>
      <c r="E6" s="81"/>
      <c r="F6" s="82"/>
    </row>
    <row r="7" spans="1:6" ht="19.5" thickBot="1" x14ac:dyDescent="0.35">
      <c r="A7" s="242" t="s">
        <v>161</v>
      </c>
      <c r="B7" s="243"/>
      <c r="C7" s="244"/>
      <c r="D7" s="7" t="s">
        <v>20</v>
      </c>
      <c r="E7" s="7" t="s">
        <v>206</v>
      </c>
      <c r="F7" s="49"/>
    </row>
    <row r="8" spans="1:6" ht="18.75" x14ac:dyDescent="0.3">
      <c r="A8" s="263" t="s">
        <v>66</v>
      </c>
      <c r="B8" s="264"/>
      <c r="C8" s="265"/>
      <c r="D8" s="11"/>
      <c r="E8" s="11"/>
      <c r="F8" s="48"/>
    </row>
    <row r="9" spans="1:6" ht="18.75" x14ac:dyDescent="0.3">
      <c r="A9" s="263" t="s">
        <v>67</v>
      </c>
      <c r="B9" s="264"/>
      <c r="C9" s="265"/>
      <c r="D9" s="11" t="s">
        <v>17</v>
      </c>
      <c r="E9" s="11"/>
      <c r="F9" s="48" t="s">
        <v>212</v>
      </c>
    </row>
    <row r="10" spans="1:6" ht="19.5" thickBot="1" x14ac:dyDescent="0.35">
      <c r="A10" s="139" t="s">
        <v>68</v>
      </c>
      <c r="B10" s="46"/>
      <c r="C10" s="45" t="s">
        <v>30</v>
      </c>
      <c r="D10" s="11"/>
      <c r="E10" s="11"/>
      <c r="F10" s="48"/>
    </row>
    <row r="11" spans="1:6" ht="19.5" thickBot="1" x14ac:dyDescent="0.35">
      <c r="C11" s="45"/>
      <c r="D11" s="44" t="s">
        <v>38</v>
      </c>
      <c r="E11" s="43"/>
      <c r="F11" s="42"/>
    </row>
    <row r="12" spans="1:6" ht="15.75" thickBot="1" x14ac:dyDescent="0.3">
      <c r="A12" s="266" t="s">
        <v>162</v>
      </c>
      <c r="B12" s="267"/>
      <c r="C12" s="268"/>
      <c r="D12" s="38"/>
      <c r="E12" s="38"/>
      <c r="F12" s="37"/>
    </row>
    <row r="13" spans="1:6" ht="19.5" thickBot="1" x14ac:dyDescent="0.35">
      <c r="A13" s="254"/>
      <c r="B13" s="255"/>
      <c r="C13" s="256"/>
      <c r="D13" s="41" t="s">
        <v>15</v>
      </c>
      <c r="E13" s="40"/>
      <c r="F13" s="39"/>
    </row>
    <row r="14" spans="1:6" ht="15.75" thickBot="1" x14ac:dyDescent="0.3">
      <c r="A14" s="35" t="s">
        <v>14</v>
      </c>
      <c r="B14" s="62" t="s">
        <v>13</v>
      </c>
      <c r="C14" s="35" t="s">
        <v>12</v>
      </c>
      <c r="D14" s="62" t="s">
        <v>11</v>
      </c>
      <c r="E14" s="35" t="s">
        <v>10</v>
      </c>
      <c r="F14" s="35" t="s">
        <v>9</v>
      </c>
    </row>
    <row r="15" spans="1:6" ht="16.5" thickBot="1" x14ac:dyDescent="0.3">
      <c r="A15" s="130"/>
      <c r="B15" s="94"/>
      <c r="C15" s="130"/>
      <c r="D15" s="113"/>
      <c r="E15" s="130"/>
      <c r="F15" s="130"/>
    </row>
    <row r="16" spans="1:6" ht="16.5" thickBot="1" x14ac:dyDescent="0.3">
      <c r="A16" s="92">
        <v>1</v>
      </c>
      <c r="B16" s="165" t="s">
        <v>102</v>
      </c>
      <c r="C16" s="218"/>
      <c r="D16" s="60">
        <v>35</v>
      </c>
      <c r="E16" s="166">
        <v>45</v>
      </c>
      <c r="F16" s="167">
        <f>+D16*E16</f>
        <v>1575</v>
      </c>
    </row>
    <row r="17" spans="1:6" ht="15.75" x14ac:dyDescent="0.25">
      <c r="A17" s="93"/>
      <c r="B17" s="94"/>
      <c r="C17" s="94"/>
      <c r="D17" s="117"/>
      <c r="E17" s="117"/>
      <c r="F17" s="93"/>
    </row>
    <row r="18" spans="1:6" ht="15.75" x14ac:dyDescent="0.25">
      <c r="A18" s="93"/>
      <c r="B18" s="94"/>
      <c r="C18" s="94"/>
      <c r="D18" s="117"/>
      <c r="E18" s="117"/>
      <c r="F18" s="93"/>
    </row>
    <row r="19" spans="1:6" ht="15.75" x14ac:dyDescent="0.25">
      <c r="A19" s="93"/>
      <c r="B19" s="94"/>
      <c r="C19" s="94"/>
      <c r="D19" s="117"/>
      <c r="E19" s="117"/>
      <c r="F19" s="93"/>
    </row>
    <row r="20" spans="1:6" ht="15.75" x14ac:dyDescent="0.25">
      <c r="A20" s="93"/>
      <c r="B20" s="94"/>
      <c r="C20" s="94"/>
      <c r="D20" s="117"/>
      <c r="E20" s="117"/>
      <c r="F20" s="93"/>
    </row>
    <row r="21" spans="1:6" ht="15.75" x14ac:dyDescent="0.25">
      <c r="A21" s="93"/>
      <c r="B21" s="94"/>
      <c r="C21" s="94"/>
      <c r="D21" s="117"/>
      <c r="E21" s="117"/>
      <c r="F21" s="93"/>
    </row>
    <row r="22" spans="1:6" ht="15.75" x14ac:dyDescent="0.25">
      <c r="A22" s="93"/>
      <c r="B22" s="94"/>
      <c r="C22" s="94"/>
      <c r="D22" s="117"/>
      <c r="E22" s="117"/>
      <c r="F22" s="93"/>
    </row>
    <row r="23" spans="1:6" ht="15.75" x14ac:dyDescent="0.25">
      <c r="A23" s="93"/>
      <c r="B23" s="94"/>
      <c r="C23" s="94"/>
      <c r="D23" s="117"/>
      <c r="E23" s="117"/>
      <c r="F23" s="93"/>
    </row>
    <row r="24" spans="1:6" ht="15.75" x14ac:dyDescent="0.25">
      <c r="A24" s="93"/>
      <c r="B24" s="94"/>
      <c r="C24" s="94"/>
      <c r="D24" s="117"/>
      <c r="E24" s="117" t="s">
        <v>30</v>
      </c>
      <c r="F24" s="93"/>
    </row>
    <row r="25" spans="1:6" ht="19.5" thickBot="1" x14ac:dyDescent="0.35">
      <c r="A25" s="136"/>
      <c r="B25" s="71"/>
      <c r="C25" s="71"/>
      <c r="D25" s="154"/>
      <c r="E25" s="37"/>
      <c r="F25" s="70">
        <f>SUM(F16:F24)</f>
        <v>1575</v>
      </c>
    </row>
    <row r="26" spans="1:6" ht="19.5" thickBot="1" x14ac:dyDescent="0.35">
      <c r="A26" s="168"/>
      <c r="B26" s="11" t="s">
        <v>33</v>
      </c>
      <c r="C26" s="24"/>
      <c r="D26" s="220" t="s">
        <v>133</v>
      </c>
      <c r="E26" s="68"/>
      <c r="F26" s="67">
        <f>F25*2.5/100</f>
        <v>39.375</v>
      </c>
    </row>
    <row r="27" spans="1:6" ht="19.5" thickBot="1" x14ac:dyDescent="0.35">
      <c r="A27" s="41"/>
      <c r="B27" s="43" t="s">
        <v>32</v>
      </c>
      <c r="C27" s="41"/>
      <c r="D27" s="221" t="s">
        <v>133</v>
      </c>
      <c r="E27" s="41"/>
      <c r="F27" s="65">
        <f>F25*2.5/100</f>
        <v>39.375</v>
      </c>
    </row>
    <row r="28" spans="1:6" ht="15.75" thickBot="1" x14ac:dyDescent="0.3">
      <c r="A28" s="21"/>
      <c r="B28" s="63"/>
      <c r="C28" s="21"/>
      <c r="D28" s="63"/>
      <c r="E28" s="21"/>
      <c r="F28" s="21"/>
    </row>
    <row r="29" spans="1:6" ht="19.5" thickBot="1" x14ac:dyDescent="0.35">
      <c r="A29" s="19" t="s">
        <v>6</v>
      </c>
      <c r="B29" s="18"/>
      <c r="C29" s="17"/>
      <c r="D29" s="17"/>
      <c r="E29" s="17"/>
      <c r="F29" s="33">
        <f>F25+F26+F27</f>
        <v>1653.75</v>
      </c>
    </row>
    <row r="30" spans="1:6" ht="15.75" thickBot="1" x14ac:dyDescent="0.3">
      <c r="A30" s="126" t="s">
        <v>213</v>
      </c>
      <c r="B30" s="127"/>
      <c r="C30" s="127"/>
      <c r="D30" s="127"/>
      <c r="E30" s="127"/>
      <c r="F30" s="132"/>
    </row>
    <row r="31" spans="1:6" ht="15.75" x14ac:dyDescent="0.25">
      <c r="A31" s="95"/>
      <c r="B31" s="94"/>
      <c r="C31" s="117"/>
      <c r="D31" s="95" t="s">
        <v>4</v>
      </c>
      <c r="E31" s="114"/>
      <c r="F31" s="115"/>
    </row>
    <row r="32" spans="1:6" ht="15.75" x14ac:dyDescent="0.25">
      <c r="A32" s="116" t="s">
        <v>43</v>
      </c>
      <c r="B32" s="94"/>
      <c r="C32" s="117"/>
      <c r="D32" s="95"/>
      <c r="E32" s="114"/>
      <c r="F32" s="115"/>
    </row>
    <row r="33" spans="1:6" ht="15.75" x14ac:dyDescent="0.25">
      <c r="A33" s="95" t="s">
        <v>52</v>
      </c>
      <c r="B33" s="94"/>
      <c r="C33" s="117"/>
      <c r="D33" s="95"/>
      <c r="E33" s="114"/>
      <c r="F33" s="115"/>
    </row>
    <row r="34" spans="1:6" ht="15.75" x14ac:dyDescent="0.25">
      <c r="A34" s="95" t="s">
        <v>53</v>
      </c>
      <c r="B34" s="94"/>
      <c r="C34" s="117"/>
      <c r="D34" s="95"/>
      <c r="E34" s="114"/>
      <c r="F34" s="115"/>
    </row>
    <row r="35" spans="1:6" ht="16.5" thickBot="1" x14ac:dyDescent="0.3">
      <c r="A35" s="118"/>
      <c r="B35" s="119"/>
      <c r="C35" s="120"/>
      <c r="D35" s="118" t="s">
        <v>0</v>
      </c>
      <c r="E35" s="121"/>
      <c r="F35" s="122"/>
    </row>
    <row r="36" spans="1:6" ht="16.5" thickBot="1" x14ac:dyDescent="0.3">
      <c r="A36" s="123"/>
      <c r="B36" s="124"/>
      <c r="C36" s="124"/>
      <c r="D36" s="124"/>
      <c r="E36" s="124"/>
      <c r="F36" s="125"/>
    </row>
  </sheetData>
  <mergeCells count="5">
    <mergeCell ref="A7:C7"/>
    <mergeCell ref="A8:C8"/>
    <mergeCell ref="A9:C9"/>
    <mergeCell ref="A12:C12"/>
    <mergeCell ref="A13:C13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D14" sqref="D14"/>
    </sheetView>
  </sheetViews>
  <sheetFormatPr defaultRowHeight="15" x14ac:dyDescent="0.25"/>
  <cols>
    <col min="1" max="1" width="7.28515625" customWidth="1"/>
    <col min="2" max="2" width="26.42578125" customWidth="1"/>
    <col min="3" max="3" width="10.7109375" customWidth="1"/>
    <col min="4" max="4" width="12.5703125" customWidth="1"/>
    <col min="5" max="5" width="11.7109375" customWidth="1"/>
    <col min="6" max="6" width="15.42578125" customWidth="1"/>
  </cols>
  <sheetData>
    <row r="1" spans="1:6" ht="21.75" thickBot="1" x14ac:dyDescent="0.4">
      <c r="A1" s="169"/>
      <c r="B1" s="81" t="s">
        <v>25</v>
      </c>
      <c r="C1" s="81"/>
      <c r="D1" s="170"/>
      <c r="E1" s="74"/>
      <c r="F1" s="75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8.75" x14ac:dyDescent="0.3">
      <c r="A6" s="269" t="s">
        <v>58</v>
      </c>
      <c r="B6" s="270"/>
      <c r="C6" s="272"/>
      <c r="D6" s="11" t="s">
        <v>79</v>
      </c>
      <c r="E6" s="11" t="s">
        <v>180</v>
      </c>
      <c r="F6" s="48"/>
    </row>
    <row r="7" spans="1:6" ht="19.5" thickBot="1" x14ac:dyDescent="0.35">
      <c r="A7" s="245" t="s">
        <v>164</v>
      </c>
      <c r="B7" s="246"/>
      <c r="C7" s="247"/>
      <c r="D7" s="11"/>
      <c r="E7" s="11"/>
      <c r="F7" s="48"/>
    </row>
    <row r="8" spans="1:6" ht="19.5" thickBot="1" x14ac:dyDescent="0.35">
      <c r="A8" s="263" t="s">
        <v>81</v>
      </c>
      <c r="B8" s="264"/>
      <c r="C8" s="265"/>
      <c r="D8" s="44" t="s">
        <v>17</v>
      </c>
      <c r="E8" s="43"/>
      <c r="F8" s="42" t="s">
        <v>200</v>
      </c>
    </row>
    <row r="9" spans="1:6" ht="19.5" thickBot="1" x14ac:dyDescent="0.35">
      <c r="A9" s="263"/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0"/>
      <c r="F10" s="39"/>
    </row>
    <row r="11" spans="1:6" ht="19.5" thickBot="1" x14ac:dyDescent="0.35">
      <c r="A11" s="273" t="s">
        <v>165</v>
      </c>
      <c r="B11" s="274"/>
      <c r="C11" s="275"/>
      <c r="D11" s="19" t="s">
        <v>38</v>
      </c>
      <c r="E11" s="38"/>
      <c r="F11" s="37"/>
    </row>
    <row r="12" spans="1:6" x14ac:dyDescent="0.25">
      <c r="A12" s="176" t="s">
        <v>155</v>
      </c>
      <c r="B12" s="177" t="s">
        <v>13</v>
      </c>
      <c r="C12" s="177" t="s">
        <v>12</v>
      </c>
      <c r="D12" s="177" t="s">
        <v>11</v>
      </c>
      <c r="E12" s="177" t="s">
        <v>10</v>
      </c>
      <c r="F12" s="178" t="s">
        <v>9</v>
      </c>
    </row>
    <row r="13" spans="1:6" ht="15.75" thickBot="1" x14ac:dyDescent="0.3">
      <c r="A13" s="3"/>
      <c r="B13" s="213"/>
      <c r="C13" s="2"/>
      <c r="D13" s="2"/>
      <c r="E13" s="2"/>
      <c r="F13" s="1"/>
    </row>
    <row r="14" spans="1:6" ht="19.5" thickBot="1" x14ac:dyDescent="0.35">
      <c r="A14" s="44">
        <v>1</v>
      </c>
      <c r="B14" s="41" t="s">
        <v>36</v>
      </c>
      <c r="C14" s="171"/>
      <c r="D14" s="172">
        <v>23</v>
      </c>
      <c r="E14" s="173">
        <v>40</v>
      </c>
      <c r="F14" s="133">
        <f>+D14*E14</f>
        <v>920</v>
      </c>
    </row>
    <row r="15" spans="1:6" x14ac:dyDescent="0.25">
      <c r="A15" s="23"/>
      <c r="B15" s="38"/>
      <c r="C15" s="38"/>
      <c r="D15" s="37"/>
      <c r="E15" s="37"/>
      <c r="F15" s="23"/>
    </row>
    <row r="16" spans="1:6" x14ac:dyDescent="0.25">
      <c r="A16" s="23"/>
      <c r="B16" s="38"/>
      <c r="C16" s="38"/>
      <c r="D16" s="37"/>
      <c r="E16" s="37"/>
      <c r="F16" s="23"/>
    </row>
    <row r="17" spans="1:6" x14ac:dyDescent="0.25">
      <c r="A17" s="23"/>
      <c r="B17" s="38"/>
      <c r="C17" s="38"/>
      <c r="D17" s="37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 t="s">
        <v>30</v>
      </c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ht="18.75" x14ac:dyDescent="0.3">
      <c r="A22" s="23"/>
      <c r="B22" s="11"/>
      <c r="C22" s="38"/>
      <c r="D22" s="37"/>
      <c r="E22" s="37"/>
      <c r="F22" s="23"/>
    </row>
    <row r="23" spans="1:6" ht="19.5" thickBot="1" x14ac:dyDescent="0.35">
      <c r="A23" s="136"/>
      <c r="B23" s="71"/>
      <c r="C23" s="71"/>
      <c r="D23" s="154"/>
      <c r="E23" s="37"/>
      <c r="F23" s="70">
        <f>SUM(F12:F22)</f>
        <v>920</v>
      </c>
    </row>
    <row r="24" spans="1:6" ht="19.5" thickBot="1" x14ac:dyDescent="0.35">
      <c r="A24" s="168"/>
      <c r="B24" s="11" t="s">
        <v>33</v>
      </c>
      <c r="C24" s="24"/>
      <c r="D24" s="220" t="s">
        <v>133</v>
      </c>
      <c r="E24" s="68"/>
      <c r="F24" s="67">
        <f>F23*2.5/100</f>
        <v>23</v>
      </c>
    </row>
    <row r="25" spans="1:6" ht="19.5" thickBot="1" x14ac:dyDescent="0.35">
      <c r="A25" s="41"/>
      <c r="B25" s="43" t="s">
        <v>32</v>
      </c>
      <c r="C25" s="41"/>
      <c r="D25" s="221" t="s">
        <v>133</v>
      </c>
      <c r="E25" s="41"/>
      <c r="F25" s="65">
        <f>F23*2.5/100</f>
        <v>23</v>
      </c>
    </row>
    <row r="26" spans="1:6" ht="15.75" thickBot="1" x14ac:dyDescent="0.3">
      <c r="A26" s="21"/>
      <c r="B26" s="63"/>
      <c r="C26" s="21"/>
      <c r="D26" s="63"/>
      <c r="E26" s="21"/>
      <c r="F26" s="21"/>
    </row>
    <row r="27" spans="1:6" ht="19.5" thickBot="1" x14ac:dyDescent="0.35">
      <c r="A27" s="19" t="s">
        <v>6</v>
      </c>
      <c r="B27" s="18"/>
      <c r="C27" s="17"/>
      <c r="D27" s="17"/>
      <c r="E27" s="17"/>
      <c r="F27" s="33">
        <f>F23+F24+F25</f>
        <v>966</v>
      </c>
    </row>
    <row r="28" spans="1:6" ht="19.5" thickBot="1" x14ac:dyDescent="0.35">
      <c r="A28" s="19"/>
      <c r="B28" s="18"/>
      <c r="C28" s="17"/>
      <c r="D28" s="17"/>
      <c r="E28" s="17"/>
      <c r="F28" s="16"/>
    </row>
    <row r="29" spans="1:6" ht="16.5" thickBot="1" x14ac:dyDescent="0.3">
      <c r="A29" s="60" t="s">
        <v>179</v>
      </c>
      <c r="B29" s="59"/>
      <c r="C29" s="59"/>
      <c r="D29" s="58"/>
      <c r="E29" s="58"/>
      <c r="F29" s="57"/>
    </row>
    <row r="30" spans="1:6" ht="18.75" x14ac:dyDescent="0.3">
      <c r="A30" s="10" t="s">
        <v>5</v>
      </c>
      <c r="B30" s="11"/>
      <c r="C30" s="11"/>
      <c r="D30" s="10" t="s">
        <v>4</v>
      </c>
      <c r="E30" s="9"/>
      <c r="F30" s="8"/>
    </row>
    <row r="31" spans="1:6" ht="18.75" x14ac:dyDescent="0.3">
      <c r="A31" s="10" t="s">
        <v>3</v>
      </c>
      <c r="B31" s="11"/>
      <c r="C31" s="11"/>
      <c r="D31" s="10"/>
      <c r="E31" s="9"/>
      <c r="F31" s="8"/>
    </row>
    <row r="32" spans="1:6" ht="18.75" x14ac:dyDescent="0.3">
      <c r="A32" s="10" t="s">
        <v>2</v>
      </c>
      <c r="B32" s="11"/>
      <c r="C32" s="11"/>
      <c r="D32" s="10"/>
      <c r="E32" s="9"/>
      <c r="F32" s="8"/>
    </row>
    <row r="33" spans="1:6" ht="18.75" x14ac:dyDescent="0.3">
      <c r="A33" s="10" t="s">
        <v>1</v>
      </c>
      <c r="B33" s="11"/>
      <c r="C33" s="11"/>
      <c r="D33" s="10"/>
      <c r="E33" s="9"/>
      <c r="F33" s="8"/>
    </row>
    <row r="34" spans="1:6" ht="19.5" thickBot="1" x14ac:dyDescent="0.35">
      <c r="A34" s="6"/>
      <c r="B34" s="7"/>
      <c r="C34" s="7"/>
      <c r="D34" s="6" t="s">
        <v>0</v>
      </c>
      <c r="E34" s="5"/>
      <c r="F34" s="4"/>
    </row>
    <row r="35" spans="1:6" ht="15.75" thickBot="1" x14ac:dyDescent="0.3">
      <c r="A35" s="3"/>
      <c r="B35" s="2"/>
      <c r="C35" s="2"/>
      <c r="D35" s="2"/>
      <c r="E35" s="2"/>
      <c r="F35" s="1"/>
    </row>
  </sheetData>
  <mergeCells count="5">
    <mergeCell ref="A6:C6"/>
    <mergeCell ref="A7:C7"/>
    <mergeCell ref="A8:C8"/>
    <mergeCell ref="A9:C9"/>
    <mergeCell ref="A11:C11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A30" sqref="A30"/>
    </sheetView>
  </sheetViews>
  <sheetFormatPr defaultRowHeight="15" x14ac:dyDescent="0.25"/>
  <cols>
    <col min="1" max="1" width="7.140625" customWidth="1"/>
    <col min="2" max="2" width="25" customWidth="1"/>
    <col min="3" max="3" width="11.140625" customWidth="1"/>
    <col min="4" max="4" width="12" customWidth="1"/>
    <col min="5" max="5" width="13.5703125" customWidth="1"/>
    <col min="6" max="6" width="17" customWidth="1"/>
  </cols>
  <sheetData>
    <row r="1" spans="1:6" ht="21.75" thickBot="1" x14ac:dyDescent="0.4">
      <c r="A1" s="55"/>
      <c r="B1" s="54" t="s">
        <v>25</v>
      </c>
      <c r="C1" s="54"/>
      <c r="D1" s="56"/>
      <c r="E1" s="17"/>
      <c r="F1" s="53"/>
    </row>
    <row r="2" spans="1:6" ht="21" x14ac:dyDescent="0.35">
      <c r="A2" s="55"/>
      <c r="B2" s="54" t="s">
        <v>24</v>
      </c>
      <c r="C2" s="54"/>
      <c r="D2" s="54"/>
      <c r="E2" s="17"/>
      <c r="F2" s="53"/>
    </row>
    <row r="3" spans="1:6" ht="18.75" x14ac:dyDescent="0.3">
      <c r="A3" s="47"/>
      <c r="B3" s="11" t="s">
        <v>23</v>
      </c>
      <c r="C3" s="11"/>
      <c r="D3" s="11"/>
      <c r="E3" s="9"/>
      <c r="F3" s="45"/>
    </row>
    <row r="4" spans="1:6" ht="18.75" x14ac:dyDescent="0.3">
      <c r="A4" s="47"/>
      <c r="B4" s="11" t="s">
        <v>22</v>
      </c>
      <c r="C4" s="11"/>
      <c r="D4" s="11"/>
      <c r="E4" s="9"/>
      <c r="F4" s="45"/>
    </row>
    <row r="5" spans="1:6" ht="21.75" thickBot="1" x14ac:dyDescent="0.4">
      <c r="A5" s="52"/>
      <c r="B5" s="51" t="s">
        <v>21</v>
      </c>
      <c r="C5" s="7"/>
      <c r="D5" s="7"/>
      <c r="E5" s="5"/>
      <c r="F5" s="50"/>
    </row>
    <row r="6" spans="1:6" ht="19.5" thickBot="1" x14ac:dyDescent="0.35">
      <c r="A6" s="242" t="s">
        <v>41</v>
      </c>
      <c r="B6" s="243"/>
      <c r="C6" s="244"/>
      <c r="D6" s="7" t="s">
        <v>20</v>
      </c>
      <c r="E6" s="7" t="s">
        <v>180</v>
      </c>
      <c r="F6" s="49"/>
    </row>
    <row r="7" spans="1:6" ht="18.75" x14ac:dyDescent="0.3">
      <c r="A7" s="263" t="s">
        <v>182</v>
      </c>
      <c r="B7" s="264"/>
      <c r="C7" s="265"/>
      <c r="D7" s="11"/>
      <c r="E7" s="11"/>
      <c r="F7" s="48"/>
    </row>
    <row r="8" spans="1:6" ht="18.75" x14ac:dyDescent="0.3">
      <c r="A8" s="263" t="s">
        <v>183</v>
      </c>
      <c r="B8" s="264"/>
      <c r="C8" s="265"/>
      <c r="D8" s="11" t="s">
        <v>17</v>
      </c>
      <c r="E8" s="11"/>
      <c r="F8" s="48" t="s">
        <v>181</v>
      </c>
    </row>
    <row r="9" spans="1:6" ht="19.5" thickBot="1" x14ac:dyDescent="0.35">
      <c r="A9" s="263" t="s">
        <v>184</v>
      </c>
      <c r="B9" s="264"/>
      <c r="C9" s="265"/>
      <c r="D9" s="11"/>
      <c r="E9" s="11"/>
      <c r="F9" s="48"/>
    </row>
    <row r="10" spans="1:6" ht="19.5" thickBot="1" x14ac:dyDescent="0.35">
      <c r="A10" s="31"/>
      <c r="B10" s="38"/>
      <c r="C10" s="37"/>
      <c r="D10" s="41" t="s">
        <v>15</v>
      </c>
      <c r="E10" s="43"/>
      <c r="F10" s="42"/>
    </row>
    <row r="11" spans="1:6" ht="15.75" thickBot="1" x14ac:dyDescent="0.3">
      <c r="A11" s="266" t="s">
        <v>185</v>
      </c>
      <c r="B11" s="267"/>
      <c r="C11" s="268"/>
      <c r="D11" s="38"/>
      <c r="E11" s="38"/>
      <c r="F11" s="37"/>
    </row>
    <row r="12" spans="1:6" ht="19.5" thickBot="1" x14ac:dyDescent="0.35">
      <c r="A12" s="254"/>
      <c r="B12" s="255"/>
      <c r="C12" s="256"/>
      <c r="D12" s="44" t="s">
        <v>38</v>
      </c>
      <c r="E12" s="40"/>
      <c r="F12" s="39"/>
    </row>
    <row r="13" spans="1:6" ht="15.75" thickBot="1" x14ac:dyDescent="0.3">
      <c r="A13" s="239"/>
      <c r="B13" s="240"/>
      <c r="C13" s="241"/>
      <c r="D13" s="38"/>
      <c r="E13" s="38"/>
      <c r="F13" s="37"/>
    </row>
    <row r="14" spans="1:6" ht="15.75" thickBot="1" x14ac:dyDescent="0.3">
      <c r="A14" s="35" t="s">
        <v>14</v>
      </c>
      <c r="B14" s="62" t="s">
        <v>13</v>
      </c>
      <c r="C14" s="35" t="s">
        <v>12</v>
      </c>
      <c r="D14" s="62" t="s">
        <v>11</v>
      </c>
      <c r="E14" s="35" t="s">
        <v>10</v>
      </c>
      <c r="F14" s="35" t="s">
        <v>9</v>
      </c>
    </row>
    <row r="15" spans="1:6" ht="19.5" thickBot="1" x14ac:dyDescent="0.35">
      <c r="A15" s="32"/>
      <c r="B15" s="69"/>
      <c r="C15" s="32"/>
      <c r="D15" s="72"/>
      <c r="E15" s="32"/>
      <c r="F15" s="32"/>
    </row>
    <row r="16" spans="1:6" ht="19.5" thickBot="1" x14ac:dyDescent="0.35">
      <c r="A16" s="41">
        <v>1</v>
      </c>
      <c r="B16" s="43" t="s">
        <v>36</v>
      </c>
      <c r="C16" s="41">
        <v>113</v>
      </c>
      <c r="D16" s="217">
        <v>199</v>
      </c>
      <c r="E16" s="133">
        <v>40</v>
      </c>
      <c r="F16" s="134">
        <f>+D16*E16</f>
        <v>7960</v>
      </c>
    </row>
    <row r="17" spans="1:6" x14ac:dyDescent="0.25">
      <c r="A17" s="23"/>
      <c r="B17" s="38"/>
      <c r="C17" s="38"/>
      <c r="D17" s="37"/>
      <c r="E17" s="37"/>
      <c r="F17" s="23"/>
    </row>
    <row r="18" spans="1:6" x14ac:dyDescent="0.25">
      <c r="A18" s="23"/>
      <c r="B18" s="38"/>
      <c r="C18" s="38"/>
      <c r="D18" s="37"/>
      <c r="E18" s="37"/>
      <c r="F18" s="23"/>
    </row>
    <row r="19" spans="1:6" x14ac:dyDescent="0.25">
      <c r="A19" s="23"/>
      <c r="B19" s="38"/>
      <c r="C19" s="38"/>
      <c r="D19" s="37"/>
      <c r="E19" s="37" t="s">
        <v>30</v>
      </c>
      <c r="F19" s="23"/>
    </row>
    <row r="20" spans="1:6" x14ac:dyDescent="0.25">
      <c r="A20" s="23"/>
      <c r="B20" s="38"/>
      <c r="C20" s="38"/>
      <c r="D20" s="37"/>
      <c r="E20" s="37"/>
      <c r="F20" s="23"/>
    </row>
    <row r="21" spans="1:6" x14ac:dyDescent="0.25">
      <c r="A21" s="23"/>
      <c r="B21" s="38"/>
      <c r="C21" s="38"/>
      <c r="D21" s="37"/>
      <c r="E21" s="37"/>
      <c r="F21" s="23"/>
    </row>
    <row r="22" spans="1:6" ht="18.75" x14ac:dyDescent="0.3">
      <c r="A22" s="23"/>
      <c r="B22" s="11"/>
      <c r="C22" s="38"/>
      <c r="D22" s="37"/>
      <c r="E22" s="37"/>
      <c r="F22" s="23"/>
    </row>
    <row r="23" spans="1:6" ht="19.5" thickBot="1" x14ac:dyDescent="0.35">
      <c r="A23" s="136"/>
      <c r="B23" s="71"/>
      <c r="C23" s="71"/>
      <c r="D23" s="154"/>
      <c r="E23" s="37"/>
      <c r="F23" s="70">
        <f>SUM(F14:F22)</f>
        <v>7960</v>
      </c>
    </row>
    <row r="24" spans="1:6" ht="19.5" thickBot="1" x14ac:dyDescent="0.35">
      <c r="A24" s="168"/>
      <c r="B24" s="11" t="s">
        <v>33</v>
      </c>
      <c r="C24" s="24"/>
      <c r="D24" s="220" t="s">
        <v>133</v>
      </c>
      <c r="E24" s="68"/>
      <c r="F24" s="67">
        <f>F23*2.5/100</f>
        <v>199</v>
      </c>
    </row>
    <row r="25" spans="1:6" ht="19.5" thickBot="1" x14ac:dyDescent="0.35">
      <c r="A25" s="41"/>
      <c r="B25" s="43" t="s">
        <v>32</v>
      </c>
      <c r="C25" s="41"/>
      <c r="D25" s="221" t="s">
        <v>133</v>
      </c>
      <c r="E25" s="41"/>
      <c r="F25" s="65">
        <f>F23*2.5/100</f>
        <v>199</v>
      </c>
    </row>
    <row r="26" spans="1:6" ht="15.75" thickBot="1" x14ac:dyDescent="0.3">
      <c r="A26" s="21"/>
      <c r="B26" s="63"/>
      <c r="C26" s="21"/>
      <c r="D26" s="63"/>
      <c r="E26" s="21"/>
      <c r="F26" s="21"/>
    </row>
    <row r="27" spans="1:6" ht="19.5" thickBot="1" x14ac:dyDescent="0.35">
      <c r="A27" s="19" t="s">
        <v>6</v>
      </c>
      <c r="B27" s="18"/>
      <c r="C27" s="17"/>
      <c r="D27" s="17"/>
      <c r="E27" s="17"/>
      <c r="F27" s="33">
        <f>SUM(F23:F26)</f>
        <v>8358</v>
      </c>
    </row>
    <row r="28" spans="1:6" ht="19.5" thickBot="1" x14ac:dyDescent="0.35">
      <c r="A28" s="19"/>
      <c r="B28" s="18"/>
      <c r="C28" s="17"/>
      <c r="D28" s="17"/>
      <c r="E28" s="17"/>
      <c r="F28" s="16"/>
    </row>
    <row r="29" spans="1:6" ht="15.75" thickBot="1" x14ac:dyDescent="0.3">
      <c r="A29" s="73" t="s">
        <v>186</v>
      </c>
      <c r="B29" s="40"/>
      <c r="C29" s="40"/>
      <c r="D29" s="74"/>
      <c r="E29" s="74"/>
      <c r="F29" s="75"/>
    </row>
    <row r="30" spans="1:6" ht="18.75" x14ac:dyDescent="0.3">
      <c r="A30" s="10"/>
      <c r="B30" s="11"/>
      <c r="C30" s="11"/>
      <c r="D30" s="10" t="s">
        <v>4</v>
      </c>
      <c r="E30" s="9"/>
      <c r="F30" s="8"/>
    </row>
    <row r="31" spans="1:6" ht="18.75" x14ac:dyDescent="0.3">
      <c r="A31" s="10" t="s">
        <v>3</v>
      </c>
      <c r="B31" s="11"/>
      <c r="C31" s="11"/>
      <c r="D31" s="10"/>
      <c r="E31" s="9"/>
      <c r="F31" s="8"/>
    </row>
    <row r="32" spans="1:6" ht="18.75" x14ac:dyDescent="0.3">
      <c r="A32" s="10" t="s">
        <v>2</v>
      </c>
      <c r="B32" s="11"/>
      <c r="C32" s="11"/>
      <c r="D32" s="10"/>
      <c r="E32" s="9"/>
      <c r="F32" s="8"/>
    </row>
    <row r="33" spans="1:6" ht="18.75" x14ac:dyDescent="0.3">
      <c r="A33" s="10" t="s">
        <v>1</v>
      </c>
      <c r="B33" s="11"/>
      <c r="C33" s="11"/>
      <c r="D33" s="10"/>
      <c r="E33" s="9"/>
      <c r="F33" s="8"/>
    </row>
    <row r="34" spans="1:6" ht="19.5" thickBot="1" x14ac:dyDescent="0.35">
      <c r="A34" s="6"/>
      <c r="B34" s="7"/>
      <c r="C34" s="7"/>
      <c r="D34" s="6" t="s">
        <v>0</v>
      </c>
      <c r="E34" s="5"/>
      <c r="F34" s="4"/>
    </row>
    <row r="35" spans="1:6" ht="15.75" thickBot="1" x14ac:dyDescent="0.3">
      <c r="A35" s="3"/>
      <c r="B35" s="2"/>
      <c r="C35" s="2"/>
      <c r="D35" s="2"/>
      <c r="E35" s="2"/>
      <c r="F35" s="1"/>
    </row>
  </sheetData>
  <mergeCells count="7">
    <mergeCell ref="A13:C13"/>
    <mergeCell ref="A6:C6"/>
    <mergeCell ref="A7:C7"/>
    <mergeCell ref="A8:C8"/>
    <mergeCell ref="A9:C9"/>
    <mergeCell ref="A11:C11"/>
    <mergeCell ref="A12:C12"/>
  </mergeCells>
  <hyperlinks>
    <hyperlink ref="B5" r:id="rId1" display="sdentp.sai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COMPUCOM</vt:lpstr>
      <vt:lpstr>COMPUCOM SP</vt:lpstr>
      <vt:lpstr>SHAPOORJI</vt:lpstr>
      <vt:lpstr>SHAPOORJI YERAWADA</vt:lpstr>
      <vt:lpstr>SHAPOORJI BOTTLES BILL</vt:lpstr>
      <vt:lpstr>shapoorji blue grass</vt:lpstr>
      <vt:lpstr>SHAPOORJI METRO</vt:lpstr>
      <vt:lpstr>INFIILOOM</vt:lpstr>
      <vt:lpstr>MAJESCO</vt:lpstr>
      <vt:lpstr>CDM SMSEETH</vt:lpstr>
      <vt:lpstr>RAYLONG</vt:lpstr>
      <vt:lpstr>WELLINGTON 1</vt:lpstr>
      <vt:lpstr>quality office</vt:lpstr>
      <vt:lpstr>PWC CENTER</vt:lpstr>
      <vt:lpstr>IT OFFICE</vt:lpstr>
      <vt:lpstr>RP PROPERTISES</vt:lpstr>
      <vt:lpstr>VIKAS</vt:lpstr>
      <vt:lpstr>CHAROLI</vt:lpstr>
      <vt:lpstr>MIAMI OFFICE</vt:lpstr>
      <vt:lpstr>ATALANTICS</vt:lpstr>
      <vt:lpstr>KNIGHT FRANK</vt:lpstr>
      <vt:lpstr>GOETHE</vt:lpstr>
      <vt:lpstr>FINALFUNNEL</vt:lpstr>
      <vt:lpstr>NOYA SWAN </vt:lpstr>
      <vt:lpstr>TGPL</vt:lpstr>
      <vt:lpstr>PRAGATI</vt:lpstr>
      <vt:lpstr>NCA</vt:lpstr>
      <vt:lpstr>BBC</vt:lpstr>
      <vt:lpstr>GALLANT</vt:lpstr>
      <vt:lpstr>VDM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2026-09-02T15:37:15Z</cp:lastPrinted>
  <dcterms:created xsi:type="dcterms:W3CDTF">2022-04-07T14:48:33Z</dcterms:created>
  <dcterms:modified xsi:type="dcterms:W3CDTF">2026-09-02T15:37:22Z</dcterms:modified>
</cp:coreProperties>
</file>